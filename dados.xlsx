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ncresupersc-my.sharepoint.com/personal/marketing_concresupersc_onmicrosoft_com/Documents/Área de Trabalho/DASHBOARD POSICIONAMENTO COMERCIAL/Teste 3/"/>
    </mc:Choice>
  </mc:AlternateContent>
  <xr:revisionPtr revIDLastSave="197" documentId="8_{9FEF56CC-3B5E-48FD-96FB-5F7F1FD2C0AD}" xr6:coauthVersionLast="47" xr6:coauthVersionMax="47" xr10:uidLastSave="{454497A0-57CA-4C48-BB25-02DC88F2EAF0}"/>
  <bookViews>
    <workbookView xWindow="-120" yWindow="-120" windowWidth="20730" windowHeight="11040" activeTab="2" xr2:uid="{6C7AE323-4709-4BDF-A571-C7C584D36725}"/>
  </bookViews>
  <sheets>
    <sheet name="Propostas Mensal 2026" sheetId="1" r:id="rId1"/>
    <sheet name="Motivos de Perda 2026" sheetId="2" r:id="rId2"/>
    <sheet name="Projeção Real 2026" sheetId="3" r:id="rId3"/>
    <sheet name="Levantamento de Mercado 2026" sheetId="4" r:id="rId4"/>
    <sheet name="Posicionamento Comercial 2026" sheetId="5" r:id="rId5"/>
  </sheets>
  <definedNames>
    <definedName name="_xlnm._FilterDatabase" localSheetId="1" hidden="1">'Motivos de Perda 2026'!$A$1:$O$145</definedName>
    <definedName name="_xlnm._FilterDatabase" localSheetId="2" hidden="1">'Projeção Real 2026'!$A$1:$E$118</definedName>
    <definedName name="_xlnm._FilterDatabase" localSheetId="0" hidden="1">'Propostas Mensal 2026'!$A$1:$D$81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145" i="2" l="1"/>
  <c r="M145" i="2"/>
  <c r="L145" i="2"/>
  <c r="K145" i="2"/>
  <c r="J145" i="2"/>
  <c r="I145" i="2"/>
  <c r="H145" i="2"/>
  <c r="G145" i="2"/>
  <c r="F145" i="2"/>
  <c r="E145" i="2"/>
  <c r="D145" i="2"/>
  <c r="C145" i="2"/>
  <c r="O144" i="2"/>
  <c r="O143" i="2"/>
  <c r="O142" i="2"/>
  <c r="O141" i="2"/>
  <c r="O140" i="2"/>
  <c r="O139" i="2"/>
  <c r="O138" i="2"/>
  <c r="O137" i="2"/>
  <c r="O136" i="2"/>
  <c r="O135" i="2"/>
  <c r="O134" i="2"/>
  <c r="N133" i="2"/>
  <c r="M133" i="2"/>
  <c r="L133" i="2"/>
  <c r="K133" i="2"/>
  <c r="J133" i="2"/>
  <c r="I133" i="2"/>
  <c r="H133" i="2"/>
  <c r="G133" i="2"/>
  <c r="F133" i="2"/>
  <c r="E133" i="2"/>
  <c r="D133" i="2"/>
  <c r="C133" i="2"/>
  <c r="O132" i="2"/>
  <c r="O131" i="2"/>
  <c r="O130" i="2"/>
  <c r="O129" i="2"/>
  <c r="O128" i="2"/>
  <c r="O127" i="2"/>
  <c r="O126" i="2"/>
  <c r="O125" i="2"/>
  <c r="O124" i="2"/>
  <c r="O123" i="2"/>
  <c r="O122" i="2"/>
  <c r="N121" i="2"/>
  <c r="M121" i="2"/>
  <c r="L121" i="2"/>
  <c r="K121" i="2"/>
  <c r="J121" i="2"/>
  <c r="I121" i="2"/>
  <c r="H121" i="2"/>
  <c r="G121" i="2"/>
  <c r="F121" i="2"/>
  <c r="E121" i="2"/>
  <c r="D121" i="2"/>
  <c r="C121" i="2"/>
  <c r="O120" i="2"/>
  <c r="O119" i="2"/>
  <c r="O118" i="2"/>
  <c r="O117" i="2"/>
  <c r="O116" i="2"/>
  <c r="O115" i="2"/>
  <c r="O114" i="2"/>
  <c r="O113" i="2"/>
  <c r="O112" i="2"/>
  <c r="O111" i="2"/>
  <c r="O110" i="2"/>
  <c r="O121" i="2" s="1"/>
  <c r="N109" i="2"/>
  <c r="M109" i="2"/>
  <c r="L109" i="2"/>
  <c r="K109" i="2"/>
  <c r="J109" i="2"/>
  <c r="I109" i="2"/>
  <c r="H109" i="2"/>
  <c r="G109" i="2"/>
  <c r="F109" i="2"/>
  <c r="E109" i="2"/>
  <c r="D109" i="2"/>
  <c r="C109" i="2"/>
  <c r="O108" i="2"/>
  <c r="O107" i="2"/>
  <c r="O106" i="2"/>
  <c r="O105" i="2"/>
  <c r="O104" i="2"/>
  <c r="O103" i="2"/>
  <c r="O102" i="2"/>
  <c r="O101" i="2"/>
  <c r="O100" i="2"/>
  <c r="O99" i="2"/>
  <c r="O98" i="2"/>
  <c r="N97" i="2"/>
  <c r="M97" i="2"/>
  <c r="L97" i="2"/>
  <c r="K97" i="2"/>
  <c r="J97" i="2"/>
  <c r="I97" i="2"/>
  <c r="H97" i="2"/>
  <c r="G97" i="2"/>
  <c r="F97" i="2"/>
  <c r="E97" i="2"/>
  <c r="D97" i="2"/>
  <c r="C97" i="2"/>
  <c r="O96" i="2"/>
  <c r="O95" i="2"/>
  <c r="O94" i="2"/>
  <c r="O93" i="2"/>
  <c r="O92" i="2"/>
  <c r="O91" i="2"/>
  <c r="O90" i="2"/>
  <c r="O89" i="2"/>
  <c r="O88" i="2"/>
  <c r="O87" i="2"/>
  <c r="O86" i="2"/>
  <c r="N85" i="2"/>
  <c r="M85" i="2"/>
  <c r="L85" i="2"/>
  <c r="K85" i="2"/>
  <c r="J85" i="2"/>
  <c r="I85" i="2"/>
  <c r="H85" i="2"/>
  <c r="G85" i="2"/>
  <c r="F85" i="2"/>
  <c r="E85" i="2"/>
  <c r="D85" i="2"/>
  <c r="C85" i="2"/>
  <c r="O85" i="2"/>
  <c r="N73" i="2"/>
  <c r="M73" i="2"/>
  <c r="L73" i="2"/>
  <c r="K73" i="2"/>
  <c r="J73" i="2"/>
  <c r="I73" i="2"/>
  <c r="H73" i="2"/>
  <c r="G73" i="2"/>
  <c r="F73" i="2"/>
  <c r="E73" i="2"/>
  <c r="D73" i="2"/>
  <c r="C73" i="2"/>
  <c r="O73" i="2"/>
  <c r="N61" i="2"/>
  <c r="M61" i="2"/>
  <c r="L61" i="2"/>
  <c r="K61" i="2"/>
  <c r="J61" i="2"/>
  <c r="I61" i="2"/>
  <c r="H61" i="2"/>
  <c r="G61" i="2"/>
  <c r="F61" i="2"/>
  <c r="E61" i="2"/>
  <c r="D61" i="2"/>
  <c r="C61" i="2"/>
  <c r="O61" i="2"/>
  <c r="N49" i="2"/>
  <c r="M49" i="2"/>
  <c r="L49" i="2"/>
  <c r="K49" i="2"/>
  <c r="J49" i="2"/>
  <c r="I49" i="2"/>
  <c r="H49" i="2"/>
  <c r="G49" i="2"/>
  <c r="F49" i="2"/>
  <c r="E49" i="2"/>
  <c r="D49" i="2"/>
  <c r="C49" i="2"/>
  <c r="O49" i="2"/>
  <c r="N37" i="2"/>
  <c r="M37" i="2"/>
  <c r="L37" i="2"/>
  <c r="K37" i="2"/>
  <c r="J37" i="2"/>
  <c r="I37" i="2"/>
  <c r="H37" i="2"/>
  <c r="G37" i="2"/>
  <c r="F37" i="2"/>
  <c r="E37" i="2"/>
  <c r="D37" i="2"/>
  <c r="C37" i="2"/>
  <c r="O37" i="2"/>
  <c r="N25" i="2"/>
  <c r="M25" i="2"/>
  <c r="L25" i="2"/>
  <c r="K25" i="2"/>
  <c r="J25" i="2"/>
  <c r="I25" i="2"/>
  <c r="H25" i="2"/>
  <c r="G25" i="2"/>
  <c r="F25" i="2"/>
  <c r="E25" i="2"/>
  <c r="D25" i="2"/>
  <c r="C25" i="2"/>
  <c r="O25" i="2"/>
  <c r="N13" i="2"/>
  <c r="M13" i="2"/>
  <c r="L13" i="2"/>
  <c r="K13" i="2"/>
  <c r="J13" i="2"/>
  <c r="I13" i="2"/>
  <c r="H13" i="2"/>
  <c r="G13" i="2"/>
  <c r="F13" i="2"/>
  <c r="E13" i="2"/>
  <c r="D13" i="2"/>
  <c r="C13" i="2"/>
  <c r="O13" i="2"/>
  <c r="O133" i="2" l="1"/>
  <c r="O109" i="2"/>
  <c r="O145" i="2"/>
  <c r="O97" i="2"/>
</calcChain>
</file>

<file path=xl/sharedStrings.xml><?xml version="1.0" encoding="utf-8"?>
<sst xmlns="http://schemas.openxmlformats.org/spreadsheetml/2006/main" count="1130" uniqueCount="122">
  <si>
    <t>Mes</t>
  </si>
  <si>
    <t>Vendedor</t>
  </si>
  <si>
    <t>Cidade</t>
  </si>
  <si>
    <t>Julho</t>
  </si>
  <si>
    <t>Alex</t>
  </si>
  <si>
    <t>Cascavel</t>
  </si>
  <si>
    <t>Agosto</t>
  </si>
  <si>
    <t>Setembro</t>
  </si>
  <si>
    <t>Outubro</t>
  </si>
  <si>
    <t>Novembro</t>
  </si>
  <si>
    <t>Dezembro</t>
  </si>
  <si>
    <t>Eduardo</t>
  </si>
  <si>
    <t>Cesar</t>
  </si>
  <si>
    <t>Marcelo</t>
  </si>
  <si>
    <t>Toledo</t>
  </si>
  <si>
    <t>Michel</t>
  </si>
  <si>
    <t>Diego</t>
  </si>
  <si>
    <t>Rondon</t>
  </si>
  <si>
    <t>Diogo</t>
  </si>
  <si>
    <t>Palotina</t>
  </si>
  <si>
    <t>Emerson</t>
  </si>
  <si>
    <t>Guaira</t>
  </si>
  <si>
    <t>Junior</t>
  </si>
  <si>
    <t>Matelandia</t>
  </si>
  <si>
    <t xml:space="preserve">Lucas </t>
  </si>
  <si>
    <t>Campo Mourão</t>
  </si>
  <si>
    <t xml:space="preserve">Propostas </t>
  </si>
  <si>
    <t>Maio</t>
  </si>
  <si>
    <t>Junho</t>
  </si>
  <si>
    <t>junho</t>
  </si>
  <si>
    <t>Concorrência</t>
  </si>
  <si>
    <t>Crédito</t>
  </si>
  <si>
    <t>Disponibilidade de agenda</t>
  </si>
  <si>
    <t>Erro de sistema</t>
  </si>
  <si>
    <t>Fora do escopo de serviço</t>
  </si>
  <si>
    <t>Preço</t>
  </si>
  <si>
    <t>Sem retorno</t>
  </si>
  <si>
    <t>Total</t>
  </si>
  <si>
    <t>Gustavo</t>
  </si>
  <si>
    <t>Lucas</t>
  </si>
  <si>
    <t>Mês</t>
  </si>
  <si>
    <t>Janeiro</t>
  </si>
  <si>
    <t>TOTAL</t>
  </si>
  <si>
    <t>Fevereiro</t>
  </si>
  <si>
    <t>Março</t>
  </si>
  <si>
    <t>Abril</t>
  </si>
  <si>
    <t>Falta de Bomba Lança</t>
  </si>
  <si>
    <t>Falta de Bomba Mangote</t>
  </si>
  <si>
    <t>Falta de Caminhão Betoneira</t>
  </si>
  <si>
    <t>Permuta</t>
  </si>
  <si>
    <t>Orçamento</t>
  </si>
  <si>
    <t>ALEX</t>
  </si>
  <si>
    <t>EDUARDO</t>
  </si>
  <si>
    <t>CESAR</t>
  </si>
  <si>
    <t>MARCELO</t>
  </si>
  <si>
    <t>MICHEL</t>
  </si>
  <si>
    <t>DIEGO</t>
  </si>
  <si>
    <t>DIOGO</t>
  </si>
  <si>
    <t>EMERSON</t>
  </si>
  <si>
    <t>JUNIOR</t>
  </si>
  <si>
    <t>LUCAS</t>
  </si>
  <si>
    <t>Meta</t>
  </si>
  <si>
    <t>Produzido</t>
  </si>
  <si>
    <t xml:space="preserve">Filial </t>
  </si>
  <si>
    <t xml:space="preserve">Toledo </t>
  </si>
  <si>
    <t xml:space="preserve">Palotina </t>
  </si>
  <si>
    <t>Guaíra</t>
  </si>
  <si>
    <t>Matelândia</t>
  </si>
  <si>
    <t>CDC</t>
  </si>
  <si>
    <t>Total não discriminado</t>
  </si>
  <si>
    <t>Filial</t>
  </si>
  <si>
    <t>Empresa</t>
  </si>
  <si>
    <t>FCK 25 CV</t>
  </si>
  <si>
    <t>FCK 25 BB</t>
  </si>
  <si>
    <t>FCK 30 CV</t>
  </si>
  <si>
    <t>FCK 30 BB</t>
  </si>
  <si>
    <t>Trevo</t>
  </si>
  <si>
    <t>Patagonia</t>
  </si>
  <si>
    <t>Empamix</t>
  </si>
  <si>
    <t>Rio Quati</t>
  </si>
  <si>
    <t>Concretize</t>
  </si>
  <si>
    <t>Mineração Concreto</t>
  </si>
  <si>
    <t>TREVO - PATRICK</t>
  </si>
  <si>
    <t>PATAGONIA - IVO</t>
  </si>
  <si>
    <t>SANTA HELENA</t>
  </si>
  <si>
    <t>Tolemixx - JOAB</t>
  </si>
  <si>
    <t>Randomix</t>
  </si>
  <si>
    <t>Concretti</t>
  </si>
  <si>
    <t>Santa Helena</t>
  </si>
  <si>
    <t>Assis Mix</t>
  </si>
  <si>
    <t>Samp</t>
  </si>
  <si>
    <t>julho</t>
  </si>
  <si>
    <t>Minerpal</t>
  </si>
  <si>
    <t>Lajes patagônia</t>
  </si>
  <si>
    <t>patagonia medianeira</t>
  </si>
  <si>
    <t>mineriomix</t>
  </si>
  <si>
    <t xml:space="preserve">Matelandia </t>
  </si>
  <si>
    <t>itapu</t>
  </si>
  <si>
    <t>Concremais</t>
  </si>
  <si>
    <t>50 por m³</t>
  </si>
  <si>
    <t xml:space="preserve">Campo Mourão </t>
  </si>
  <si>
    <t>Volume (média mensal)</t>
  </si>
  <si>
    <t>Market Size (m³)</t>
  </si>
  <si>
    <t>Market Share (m³)</t>
  </si>
  <si>
    <t>Market Share (%)</t>
  </si>
  <si>
    <t>Marechal Cândido Rondon</t>
  </si>
  <si>
    <t>Filial: Cascavel</t>
  </si>
  <si>
    <t>Patagônia</t>
  </si>
  <si>
    <t>Laje Mix</t>
  </si>
  <si>
    <t>Zancanaro</t>
  </si>
  <si>
    <t>Mercado disponível total (TAM)</t>
  </si>
  <si>
    <t>Volume mensal (m³)</t>
  </si>
  <si>
    <t>Capacidade (m³)</t>
  </si>
  <si>
    <t>Filial: Toledo</t>
  </si>
  <si>
    <t>Externos</t>
  </si>
  <si>
    <t>Filial: Matelândia</t>
  </si>
  <si>
    <t>Mineromix</t>
  </si>
  <si>
    <t>Filial: Guaíra</t>
  </si>
  <si>
    <t>Filial: Palotina</t>
  </si>
  <si>
    <t>Filial: Marechal Cândido Rondon</t>
  </si>
  <si>
    <t>Rondomix</t>
  </si>
  <si>
    <t>Dados não preenchidos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</si>
</sst>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R\$\ #,##0.00"/>
    <numFmt numFmtId="165" formatCode="&quot;R$&quot;\ #,##0.00"/>
  </numFmts>
  <fonts count="5" x14ac:knownFonts="1">
    <font>
      <sz val="11"/>
      <color theme="1"/>
      <name val="Aptos Narrow"/>
      <family val="2"/>
      <scheme val="minor"/>
    </font>
    <font>
      <b/>
      <sz val="10"/>
      <color rgb="FFFFFFFF"/>
      <name val="Calibri"/>
    </font>
    <font>
      <sz val="10"/>
      <color theme="1"/>
      <name val="Arial"/>
      <family val="2"/>
    </font>
    <font>
      <b/>
      <sz val="11"/>
      <color rgb="FFFFFFFF"/>
      <name val="Calibri"/>
      <family val="2"/>
    </font>
    <font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FFFFF"/>
        <bgColor rgb="FFFFFFFF"/>
      </patternFill>
    </fill>
    <fill>
      <patternFill patternType="solid">
        <fgColor rgb="FFD9E1F2"/>
        <bgColor rgb="FFD9E1F2"/>
      </patternFill>
    </fill>
    <fill>
      <patternFill patternType="solid">
        <fgColor rgb="FF1F4E78"/>
      </patternFill>
    </fill>
    <fill>
      <patternFill patternType="solid">
        <fgColor theme="9" tint="0.79998168889431442"/>
        <bgColor rgb="FFFFFFFF"/>
      </patternFill>
    </fill>
  </fills>
  <borders count="20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medium">
        <color rgb="FF0D1B2A"/>
      </bottom>
      <diagonal/>
    </border>
    <border>
      <left style="thin">
        <color rgb="FFBCC8DC"/>
      </left>
      <right style="thin">
        <color rgb="FFBCC8DC"/>
      </right>
      <top style="thin">
        <color rgb="FFBCC8DC"/>
      </top>
      <bottom style="thin">
        <color rgb="FFBCC8DC"/>
      </bottom>
      <diagonal/>
    </border>
    <border>
      <left/>
      <right/>
      <top/>
      <bottom style="thin">
        <color rgb="FFD9E1F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5" fontId="0" fillId="4" borderId="2" xfId="0" applyNumberFormat="1" applyFill="1" applyBorder="1" applyAlignment="1">
      <alignment horizontal="center" vertical="center"/>
    </xf>
    <xf numFmtId="2" fontId="0" fillId="3" borderId="2" xfId="0" applyNumberFormat="1" applyFill="1" applyBorder="1" applyAlignment="1">
      <alignment horizontal="center" vertical="center"/>
    </xf>
    <xf numFmtId="165" fontId="0" fillId="3" borderId="2" xfId="0" applyNumberFormat="1" applyFill="1" applyBorder="1" applyAlignment="1">
      <alignment horizontal="center" vertical="center"/>
    </xf>
    <xf numFmtId="0" fontId="0" fillId="3" borderId="2" xfId="0" applyFill="1" applyBorder="1" applyAlignment="1">
      <alignment vertical="center"/>
    </xf>
    <xf numFmtId="2" fontId="0" fillId="4" borderId="2" xfId="0" applyNumberFormat="1" applyFill="1" applyBorder="1" applyAlignment="1">
      <alignment horizontal="center" vertical="center"/>
    </xf>
    <xf numFmtId="2" fontId="0" fillId="6" borderId="2" xfId="0" applyNumberFormat="1" applyFill="1" applyBorder="1" applyAlignment="1">
      <alignment horizontal="center" vertical="center"/>
    </xf>
    <xf numFmtId="0" fontId="2" fillId="0" borderId="0" xfId="0" applyFont="1" applyAlignment="1">
      <alignment wrapText="1"/>
    </xf>
    <xf numFmtId="4" fontId="2" fillId="0" borderId="0" xfId="0" applyNumberFormat="1" applyFont="1" applyAlignment="1">
      <alignment horizontal="right" wrapText="1"/>
    </xf>
    <xf numFmtId="10" fontId="2" fillId="0" borderId="0" xfId="0" applyNumberFormat="1" applyFont="1" applyAlignment="1">
      <alignment horizontal="right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right" wrapText="1"/>
    </xf>
    <xf numFmtId="0" fontId="2" fillId="0" borderId="0" xfId="0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10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4" fontId="2" fillId="0" borderId="0" xfId="0" applyNumberFormat="1" applyFont="1" applyAlignment="1">
      <alignment horizontal="center" vertical="center" wrapText="1"/>
    </xf>
    <xf numFmtId="10" fontId="2" fillId="0" borderId="0" xfId="0" applyNumberFormat="1" applyFont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0" fontId="2" fillId="0" borderId="8" xfId="0" applyNumberFormat="1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4" fontId="2" fillId="0" borderId="10" xfId="0" applyNumberFormat="1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10" fontId="2" fillId="0" borderId="8" xfId="0" applyNumberFormat="1" applyFont="1" applyBorder="1" applyAlignment="1">
      <alignment horizontal="center" vertical="center" wrapText="1"/>
    </xf>
    <xf numFmtId="4" fontId="2" fillId="0" borderId="8" xfId="0" applyNumberFormat="1" applyFont="1" applyBorder="1" applyAlignment="1">
      <alignment horizontal="center" vertical="center" wrapText="1"/>
    </xf>
    <xf numFmtId="4" fontId="2" fillId="0" borderId="10" xfId="0" applyNumberFormat="1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4" fontId="2" fillId="0" borderId="11" xfId="0" applyNumberFormat="1" applyFont="1" applyBorder="1" applyAlignment="1">
      <alignment horizontal="center" vertical="center" wrapText="1"/>
    </xf>
    <xf numFmtId="4" fontId="2" fillId="0" borderId="5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10" fontId="2" fillId="0" borderId="16" xfId="0" applyNumberFormat="1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4" fontId="2" fillId="0" borderId="18" xfId="0" applyNumberFormat="1" applyFont="1" applyBorder="1" applyAlignment="1">
      <alignment horizontal="center" vertical="center"/>
    </xf>
    <xf numFmtId="10" fontId="2" fillId="0" borderId="19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567D7-EF46-45A1-81C5-29C1CD65F4B3}">
  <dimension ref="A1:D81"/>
  <sheetViews>
    <sheetView workbookViewId="0">
      <selection activeCell="H16" sqref="H16"/>
    </sheetView>
  </sheetViews>
  <sheetFormatPr defaultRowHeight="15" x14ac:dyDescent="0.25"/>
  <cols>
    <col min="1" max="1" width="10.140625" bestFit="1" customWidth="1"/>
    <col min="2" max="2" width="8.85546875" bestFit="1" customWidth="1"/>
    <col min="3" max="3" width="14.7109375" bestFit="1" customWidth="1"/>
  </cols>
  <sheetData>
    <row r="1" spans="1:4" ht="15.75" thickBot="1" x14ac:dyDescent="0.3">
      <c r="A1" s="1" t="s">
        <v>0</v>
      </c>
      <c r="B1" s="1" t="s">
        <v>1</v>
      </c>
      <c r="C1" s="1" t="s">
        <v>2</v>
      </c>
      <c r="D1" s="1" t="s">
        <v>26</v>
      </c>
    </row>
    <row r="2" spans="1:4" x14ac:dyDescent="0.25">
      <c r="A2" s="3" t="s">
        <v>27</v>
      </c>
      <c r="B2" s="3" t="s">
        <v>4</v>
      </c>
      <c r="C2" s="3" t="s">
        <v>5</v>
      </c>
      <c r="D2" s="16">
        <v>44</v>
      </c>
    </row>
    <row r="3" spans="1:4" x14ac:dyDescent="0.25">
      <c r="A3" s="2" t="s">
        <v>28</v>
      </c>
      <c r="B3" s="2" t="s">
        <v>4</v>
      </c>
      <c r="C3" s="2" t="s">
        <v>5</v>
      </c>
      <c r="D3" s="13">
        <v>25</v>
      </c>
    </row>
    <row r="4" spans="1:4" x14ac:dyDescent="0.25">
      <c r="A4" s="3" t="s">
        <v>3</v>
      </c>
      <c r="B4" s="3" t="s">
        <v>4</v>
      </c>
      <c r="C4" s="3" t="s">
        <v>5</v>
      </c>
      <c r="D4" s="16">
        <v>77</v>
      </c>
    </row>
    <row r="5" spans="1:4" x14ac:dyDescent="0.25">
      <c r="A5" s="2" t="s">
        <v>6</v>
      </c>
      <c r="B5" s="2" t="s">
        <v>4</v>
      </c>
      <c r="C5" s="2" t="s">
        <v>5</v>
      </c>
      <c r="D5" s="13"/>
    </row>
    <row r="6" spans="1:4" x14ac:dyDescent="0.25">
      <c r="A6" s="3" t="s">
        <v>7</v>
      </c>
      <c r="B6" s="3" t="s">
        <v>4</v>
      </c>
      <c r="C6" s="3" t="s">
        <v>5</v>
      </c>
      <c r="D6" s="16"/>
    </row>
    <row r="7" spans="1:4" x14ac:dyDescent="0.25">
      <c r="A7" s="2" t="s">
        <v>8</v>
      </c>
      <c r="B7" s="2" t="s">
        <v>4</v>
      </c>
      <c r="C7" s="2" t="s">
        <v>5</v>
      </c>
      <c r="D7" s="13"/>
    </row>
    <row r="8" spans="1:4" x14ac:dyDescent="0.25">
      <c r="A8" s="3" t="s">
        <v>9</v>
      </c>
      <c r="B8" s="3" t="s">
        <v>4</v>
      </c>
      <c r="C8" s="3" t="s">
        <v>5</v>
      </c>
      <c r="D8" s="16"/>
    </row>
    <row r="9" spans="1:4" x14ac:dyDescent="0.25">
      <c r="A9" s="2" t="s">
        <v>10</v>
      </c>
      <c r="B9" s="2" t="s">
        <v>4</v>
      </c>
      <c r="C9" s="2" t="s">
        <v>5</v>
      </c>
      <c r="D9" s="13"/>
    </row>
    <row r="10" spans="1:4" x14ac:dyDescent="0.25">
      <c r="A10" s="3" t="s">
        <v>27</v>
      </c>
      <c r="B10" s="3" t="s">
        <v>11</v>
      </c>
      <c r="C10" s="3" t="s">
        <v>5</v>
      </c>
      <c r="D10" s="16">
        <v>16</v>
      </c>
    </row>
    <row r="11" spans="1:4" x14ac:dyDescent="0.25">
      <c r="A11" s="2" t="s">
        <v>28</v>
      </c>
      <c r="B11" s="2" t="s">
        <v>11</v>
      </c>
      <c r="C11" s="2" t="s">
        <v>5</v>
      </c>
      <c r="D11" s="13">
        <v>3</v>
      </c>
    </row>
    <row r="12" spans="1:4" ht="14.25" customHeight="1" x14ac:dyDescent="0.25">
      <c r="A12" s="3" t="s">
        <v>3</v>
      </c>
      <c r="B12" s="3" t="s">
        <v>11</v>
      </c>
      <c r="C12" s="3" t="s">
        <v>5</v>
      </c>
      <c r="D12" s="16">
        <v>43</v>
      </c>
    </row>
    <row r="13" spans="1:4" x14ac:dyDescent="0.25">
      <c r="A13" s="2" t="s">
        <v>6</v>
      </c>
      <c r="B13" s="2" t="s">
        <v>11</v>
      </c>
      <c r="C13" s="2" t="s">
        <v>5</v>
      </c>
      <c r="D13" s="13"/>
    </row>
    <row r="14" spans="1:4" x14ac:dyDescent="0.25">
      <c r="A14" s="3" t="s">
        <v>7</v>
      </c>
      <c r="B14" s="3" t="s">
        <v>11</v>
      </c>
      <c r="C14" s="3" t="s">
        <v>5</v>
      </c>
      <c r="D14" s="16"/>
    </row>
    <row r="15" spans="1:4" x14ac:dyDescent="0.25">
      <c r="A15" s="2" t="s">
        <v>8</v>
      </c>
      <c r="B15" s="2" t="s">
        <v>11</v>
      </c>
      <c r="C15" s="2" t="s">
        <v>5</v>
      </c>
      <c r="D15" s="13"/>
    </row>
    <row r="16" spans="1:4" x14ac:dyDescent="0.25">
      <c r="A16" s="3" t="s">
        <v>9</v>
      </c>
      <c r="B16" s="3" t="s">
        <v>11</v>
      </c>
      <c r="C16" s="3" t="s">
        <v>5</v>
      </c>
      <c r="D16" s="16"/>
    </row>
    <row r="17" spans="1:4" x14ac:dyDescent="0.25">
      <c r="A17" s="2" t="s">
        <v>10</v>
      </c>
      <c r="B17" s="2" t="s">
        <v>11</v>
      </c>
      <c r="C17" s="2" t="s">
        <v>5</v>
      </c>
      <c r="D17" s="13"/>
    </row>
    <row r="18" spans="1:4" x14ac:dyDescent="0.25">
      <c r="A18" s="3" t="s">
        <v>27</v>
      </c>
      <c r="B18" s="3" t="s">
        <v>12</v>
      </c>
      <c r="C18" s="3" t="s">
        <v>5</v>
      </c>
      <c r="D18" s="16">
        <v>22</v>
      </c>
    </row>
    <row r="19" spans="1:4" x14ac:dyDescent="0.25">
      <c r="A19" s="2" t="s">
        <v>28</v>
      </c>
      <c r="B19" s="2" t="s">
        <v>12</v>
      </c>
      <c r="C19" s="2" t="s">
        <v>5</v>
      </c>
      <c r="D19" s="13">
        <v>9</v>
      </c>
    </row>
    <row r="20" spans="1:4" x14ac:dyDescent="0.25">
      <c r="A20" s="3" t="s">
        <v>3</v>
      </c>
      <c r="B20" s="3" t="s">
        <v>12</v>
      </c>
      <c r="C20" s="3" t="s">
        <v>5</v>
      </c>
      <c r="D20" s="16">
        <v>30</v>
      </c>
    </row>
    <row r="21" spans="1:4" x14ac:dyDescent="0.25">
      <c r="A21" s="2" t="s">
        <v>6</v>
      </c>
      <c r="B21" s="2" t="s">
        <v>12</v>
      </c>
      <c r="C21" s="2" t="s">
        <v>5</v>
      </c>
      <c r="D21" s="13"/>
    </row>
    <row r="22" spans="1:4" x14ac:dyDescent="0.25">
      <c r="A22" s="3" t="s">
        <v>7</v>
      </c>
      <c r="B22" s="3" t="s">
        <v>12</v>
      </c>
      <c r="C22" s="3" t="s">
        <v>5</v>
      </c>
      <c r="D22" s="16"/>
    </row>
    <row r="23" spans="1:4" x14ac:dyDescent="0.25">
      <c r="A23" s="2" t="s">
        <v>8</v>
      </c>
      <c r="B23" s="2" t="s">
        <v>12</v>
      </c>
      <c r="C23" s="2" t="s">
        <v>5</v>
      </c>
      <c r="D23" s="13"/>
    </row>
    <row r="24" spans="1:4" x14ac:dyDescent="0.25">
      <c r="A24" s="3" t="s">
        <v>9</v>
      </c>
      <c r="B24" s="3" t="s">
        <v>12</v>
      </c>
      <c r="C24" s="3" t="s">
        <v>5</v>
      </c>
      <c r="D24" s="16"/>
    </row>
    <row r="25" spans="1:4" x14ac:dyDescent="0.25">
      <c r="A25" s="2" t="s">
        <v>10</v>
      </c>
      <c r="B25" s="2" t="s">
        <v>12</v>
      </c>
      <c r="C25" s="2" t="s">
        <v>5</v>
      </c>
      <c r="D25" s="13"/>
    </row>
    <row r="26" spans="1:4" x14ac:dyDescent="0.25">
      <c r="A26" s="3" t="s">
        <v>27</v>
      </c>
      <c r="B26" s="3" t="s">
        <v>13</v>
      </c>
      <c r="C26" s="3" t="s">
        <v>14</v>
      </c>
      <c r="D26" s="16">
        <v>13</v>
      </c>
    </row>
    <row r="27" spans="1:4" x14ac:dyDescent="0.25">
      <c r="A27" s="2" t="s">
        <v>28</v>
      </c>
      <c r="B27" s="2" t="s">
        <v>13</v>
      </c>
      <c r="C27" s="2" t="s">
        <v>14</v>
      </c>
      <c r="D27" s="13">
        <v>4</v>
      </c>
    </row>
    <row r="28" spans="1:4" x14ac:dyDescent="0.25">
      <c r="A28" s="3" t="s">
        <v>3</v>
      </c>
      <c r="B28" s="3" t="s">
        <v>13</v>
      </c>
      <c r="C28" s="3" t="s">
        <v>14</v>
      </c>
      <c r="D28" s="16">
        <v>33</v>
      </c>
    </row>
    <row r="29" spans="1:4" x14ac:dyDescent="0.25">
      <c r="A29" s="2" t="s">
        <v>6</v>
      </c>
      <c r="B29" s="2" t="s">
        <v>13</v>
      </c>
      <c r="C29" s="2" t="s">
        <v>14</v>
      </c>
      <c r="D29" s="13"/>
    </row>
    <row r="30" spans="1:4" x14ac:dyDescent="0.25">
      <c r="A30" s="3" t="s">
        <v>7</v>
      </c>
      <c r="B30" s="3" t="s">
        <v>13</v>
      </c>
      <c r="C30" s="3" t="s">
        <v>14</v>
      </c>
      <c r="D30" s="16"/>
    </row>
    <row r="31" spans="1:4" x14ac:dyDescent="0.25">
      <c r="A31" s="2" t="s">
        <v>8</v>
      </c>
      <c r="B31" s="2" t="s">
        <v>13</v>
      </c>
      <c r="C31" s="2" t="s">
        <v>14</v>
      </c>
      <c r="D31" s="13"/>
    </row>
    <row r="32" spans="1:4" x14ac:dyDescent="0.25">
      <c r="A32" s="3" t="s">
        <v>9</v>
      </c>
      <c r="B32" s="3" t="s">
        <v>13</v>
      </c>
      <c r="C32" s="3" t="s">
        <v>14</v>
      </c>
      <c r="D32" s="16"/>
    </row>
    <row r="33" spans="1:4" x14ac:dyDescent="0.25">
      <c r="A33" s="2" t="s">
        <v>10</v>
      </c>
      <c r="B33" s="2" t="s">
        <v>13</v>
      </c>
      <c r="C33" s="2" t="s">
        <v>14</v>
      </c>
      <c r="D33" s="13"/>
    </row>
    <row r="34" spans="1:4" x14ac:dyDescent="0.25">
      <c r="A34" s="3" t="s">
        <v>27</v>
      </c>
      <c r="B34" s="3" t="s">
        <v>15</v>
      </c>
      <c r="C34" s="3" t="s">
        <v>14</v>
      </c>
      <c r="D34" s="16">
        <v>25</v>
      </c>
    </row>
    <row r="35" spans="1:4" x14ac:dyDescent="0.25">
      <c r="A35" s="2" t="s">
        <v>28</v>
      </c>
      <c r="B35" s="2" t="s">
        <v>15</v>
      </c>
      <c r="C35" s="2" t="s">
        <v>14</v>
      </c>
      <c r="D35" s="13">
        <v>14</v>
      </c>
    </row>
    <row r="36" spans="1:4" x14ac:dyDescent="0.25">
      <c r="A36" s="3" t="s">
        <v>3</v>
      </c>
      <c r="B36" s="3" t="s">
        <v>15</v>
      </c>
      <c r="C36" s="3" t="s">
        <v>14</v>
      </c>
      <c r="D36" s="16">
        <v>46</v>
      </c>
    </row>
    <row r="37" spans="1:4" x14ac:dyDescent="0.25">
      <c r="A37" s="2" t="s">
        <v>6</v>
      </c>
      <c r="B37" s="2" t="s">
        <v>15</v>
      </c>
      <c r="C37" s="2" t="s">
        <v>14</v>
      </c>
      <c r="D37" s="13"/>
    </row>
    <row r="38" spans="1:4" x14ac:dyDescent="0.25">
      <c r="A38" s="3" t="s">
        <v>7</v>
      </c>
      <c r="B38" s="3" t="s">
        <v>15</v>
      </c>
      <c r="C38" s="3" t="s">
        <v>14</v>
      </c>
      <c r="D38" s="16"/>
    </row>
    <row r="39" spans="1:4" x14ac:dyDescent="0.25">
      <c r="A39" s="2" t="s">
        <v>8</v>
      </c>
      <c r="B39" s="2" t="s">
        <v>15</v>
      </c>
      <c r="C39" s="2" t="s">
        <v>14</v>
      </c>
      <c r="D39" s="13"/>
    </row>
    <row r="40" spans="1:4" x14ac:dyDescent="0.25">
      <c r="A40" s="3" t="s">
        <v>9</v>
      </c>
      <c r="B40" s="3" t="s">
        <v>15</v>
      </c>
      <c r="C40" s="3" t="s">
        <v>14</v>
      </c>
      <c r="D40" s="16"/>
    </row>
    <row r="41" spans="1:4" x14ac:dyDescent="0.25">
      <c r="A41" s="2" t="s">
        <v>10</v>
      </c>
      <c r="B41" s="2" t="s">
        <v>15</v>
      </c>
      <c r="C41" s="2" t="s">
        <v>14</v>
      </c>
      <c r="D41" s="13"/>
    </row>
    <row r="42" spans="1:4" x14ac:dyDescent="0.25">
      <c r="A42" s="3" t="s">
        <v>27</v>
      </c>
      <c r="B42" s="3" t="s">
        <v>16</v>
      </c>
      <c r="C42" s="3" t="s">
        <v>17</v>
      </c>
      <c r="D42" s="16">
        <v>33</v>
      </c>
    </row>
    <row r="43" spans="1:4" x14ac:dyDescent="0.25">
      <c r="A43" s="2" t="s">
        <v>28</v>
      </c>
      <c r="B43" s="2" t="s">
        <v>16</v>
      </c>
      <c r="C43" s="2" t="s">
        <v>17</v>
      </c>
      <c r="D43" s="13">
        <v>22</v>
      </c>
    </row>
    <row r="44" spans="1:4" x14ac:dyDescent="0.25">
      <c r="A44" s="3" t="s">
        <v>3</v>
      </c>
      <c r="B44" s="3" t="s">
        <v>16</v>
      </c>
      <c r="C44" s="3" t="s">
        <v>17</v>
      </c>
      <c r="D44" s="16">
        <v>63</v>
      </c>
    </row>
    <row r="45" spans="1:4" x14ac:dyDescent="0.25">
      <c r="A45" s="2" t="s">
        <v>6</v>
      </c>
      <c r="B45" s="2" t="s">
        <v>16</v>
      </c>
      <c r="C45" s="2" t="s">
        <v>17</v>
      </c>
      <c r="D45" s="13"/>
    </row>
    <row r="46" spans="1:4" x14ac:dyDescent="0.25">
      <c r="A46" s="3" t="s">
        <v>7</v>
      </c>
      <c r="B46" s="3" t="s">
        <v>16</v>
      </c>
      <c r="C46" s="3" t="s">
        <v>17</v>
      </c>
      <c r="D46" s="16"/>
    </row>
    <row r="47" spans="1:4" x14ac:dyDescent="0.25">
      <c r="A47" s="2" t="s">
        <v>8</v>
      </c>
      <c r="B47" s="2" t="s">
        <v>16</v>
      </c>
      <c r="C47" s="2" t="s">
        <v>17</v>
      </c>
      <c r="D47" s="13"/>
    </row>
    <row r="48" spans="1:4" x14ac:dyDescent="0.25">
      <c r="A48" s="3" t="s">
        <v>9</v>
      </c>
      <c r="B48" s="3" t="s">
        <v>16</v>
      </c>
      <c r="C48" s="3" t="s">
        <v>17</v>
      </c>
      <c r="D48" s="16"/>
    </row>
    <row r="49" spans="1:4" x14ac:dyDescent="0.25">
      <c r="A49" s="2" t="s">
        <v>10</v>
      </c>
      <c r="B49" s="2" t="s">
        <v>16</v>
      </c>
      <c r="C49" s="2" t="s">
        <v>17</v>
      </c>
      <c r="D49" s="13"/>
    </row>
    <row r="50" spans="1:4" x14ac:dyDescent="0.25">
      <c r="A50" s="3" t="s">
        <v>27</v>
      </c>
      <c r="B50" s="3" t="s">
        <v>18</v>
      </c>
      <c r="C50" s="3" t="s">
        <v>19</v>
      </c>
      <c r="D50" s="16">
        <v>13</v>
      </c>
    </row>
    <row r="51" spans="1:4" x14ac:dyDescent="0.25">
      <c r="A51" s="2" t="s">
        <v>28</v>
      </c>
      <c r="B51" s="2" t="s">
        <v>18</v>
      </c>
      <c r="C51" s="2" t="s">
        <v>19</v>
      </c>
      <c r="D51" s="13">
        <v>10</v>
      </c>
    </row>
    <row r="52" spans="1:4" x14ac:dyDescent="0.25">
      <c r="A52" s="3" t="s">
        <v>3</v>
      </c>
      <c r="B52" s="3" t="s">
        <v>18</v>
      </c>
      <c r="C52" s="3" t="s">
        <v>19</v>
      </c>
      <c r="D52" s="16">
        <v>32</v>
      </c>
    </row>
    <row r="53" spans="1:4" x14ac:dyDescent="0.25">
      <c r="A53" s="2" t="s">
        <v>6</v>
      </c>
      <c r="B53" s="2" t="s">
        <v>18</v>
      </c>
      <c r="C53" s="2" t="s">
        <v>19</v>
      </c>
      <c r="D53" s="13"/>
    </row>
    <row r="54" spans="1:4" x14ac:dyDescent="0.25">
      <c r="A54" s="3" t="s">
        <v>7</v>
      </c>
      <c r="B54" s="3" t="s">
        <v>18</v>
      </c>
      <c r="C54" s="3" t="s">
        <v>19</v>
      </c>
      <c r="D54" s="16"/>
    </row>
    <row r="55" spans="1:4" x14ac:dyDescent="0.25">
      <c r="A55" s="2" t="s">
        <v>8</v>
      </c>
      <c r="B55" s="2" t="s">
        <v>18</v>
      </c>
      <c r="C55" s="2" t="s">
        <v>19</v>
      </c>
      <c r="D55" s="13"/>
    </row>
    <row r="56" spans="1:4" x14ac:dyDescent="0.25">
      <c r="A56" s="3" t="s">
        <v>9</v>
      </c>
      <c r="B56" s="3" t="s">
        <v>18</v>
      </c>
      <c r="C56" s="3" t="s">
        <v>19</v>
      </c>
      <c r="D56" s="16"/>
    </row>
    <row r="57" spans="1:4" x14ac:dyDescent="0.25">
      <c r="A57" s="2" t="s">
        <v>10</v>
      </c>
      <c r="B57" s="2" t="s">
        <v>18</v>
      </c>
      <c r="C57" s="2" t="s">
        <v>19</v>
      </c>
      <c r="D57" s="13"/>
    </row>
    <row r="58" spans="1:4" ht="14.25" customHeight="1" x14ac:dyDescent="0.25">
      <c r="A58" s="3" t="s">
        <v>27</v>
      </c>
      <c r="B58" s="3" t="s">
        <v>20</v>
      </c>
      <c r="C58" s="3" t="s">
        <v>21</v>
      </c>
      <c r="D58" s="16">
        <v>13</v>
      </c>
    </row>
    <row r="59" spans="1:4" ht="14.25" customHeight="1" x14ac:dyDescent="0.25">
      <c r="A59" s="2" t="s">
        <v>28</v>
      </c>
      <c r="B59" s="2" t="s">
        <v>20</v>
      </c>
      <c r="C59" s="2" t="s">
        <v>21</v>
      </c>
      <c r="D59" s="13">
        <v>4</v>
      </c>
    </row>
    <row r="60" spans="1:4" x14ac:dyDescent="0.25">
      <c r="A60" s="3" t="s">
        <v>3</v>
      </c>
      <c r="B60" s="3" t="s">
        <v>20</v>
      </c>
      <c r="C60" s="3" t="s">
        <v>21</v>
      </c>
      <c r="D60" s="16">
        <v>18</v>
      </c>
    </row>
    <row r="61" spans="1:4" x14ac:dyDescent="0.25">
      <c r="A61" s="2" t="s">
        <v>6</v>
      </c>
      <c r="B61" s="2" t="s">
        <v>20</v>
      </c>
      <c r="C61" s="2" t="s">
        <v>21</v>
      </c>
      <c r="D61" s="13"/>
    </row>
    <row r="62" spans="1:4" x14ac:dyDescent="0.25">
      <c r="A62" s="3" t="s">
        <v>7</v>
      </c>
      <c r="B62" s="3" t="s">
        <v>20</v>
      </c>
      <c r="C62" s="3" t="s">
        <v>21</v>
      </c>
      <c r="D62" s="16"/>
    </row>
    <row r="63" spans="1:4" x14ac:dyDescent="0.25">
      <c r="A63" s="2" t="s">
        <v>8</v>
      </c>
      <c r="B63" s="2" t="s">
        <v>20</v>
      </c>
      <c r="C63" s="2" t="s">
        <v>21</v>
      </c>
      <c r="D63" s="13"/>
    </row>
    <row r="64" spans="1:4" x14ac:dyDescent="0.25">
      <c r="A64" s="3" t="s">
        <v>9</v>
      </c>
      <c r="B64" s="3" t="s">
        <v>20</v>
      </c>
      <c r="C64" s="3" t="s">
        <v>21</v>
      </c>
      <c r="D64" s="16"/>
    </row>
    <row r="65" spans="1:4" x14ac:dyDescent="0.25">
      <c r="A65" s="2" t="s">
        <v>10</v>
      </c>
      <c r="B65" s="2" t="s">
        <v>20</v>
      </c>
      <c r="C65" s="2" t="s">
        <v>21</v>
      </c>
      <c r="D65" s="13"/>
    </row>
    <row r="66" spans="1:4" x14ac:dyDescent="0.25">
      <c r="A66" s="3" t="s">
        <v>27</v>
      </c>
      <c r="B66" s="3" t="s">
        <v>22</v>
      </c>
      <c r="C66" s="3" t="s">
        <v>23</v>
      </c>
      <c r="D66" s="16">
        <v>20</v>
      </c>
    </row>
    <row r="67" spans="1:4" x14ac:dyDescent="0.25">
      <c r="A67" s="2" t="s">
        <v>29</v>
      </c>
      <c r="B67" s="2" t="s">
        <v>22</v>
      </c>
      <c r="C67" s="2" t="s">
        <v>23</v>
      </c>
      <c r="D67" s="13">
        <v>4</v>
      </c>
    </row>
    <row r="68" spans="1:4" x14ac:dyDescent="0.25">
      <c r="A68" s="3" t="s">
        <v>3</v>
      </c>
      <c r="B68" s="3" t="s">
        <v>22</v>
      </c>
      <c r="C68" s="3" t="s">
        <v>23</v>
      </c>
      <c r="D68" s="16">
        <v>46</v>
      </c>
    </row>
    <row r="69" spans="1:4" x14ac:dyDescent="0.25">
      <c r="A69" s="2" t="s">
        <v>6</v>
      </c>
      <c r="B69" s="2" t="s">
        <v>22</v>
      </c>
      <c r="C69" s="2" t="s">
        <v>23</v>
      </c>
      <c r="D69" s="13"/>
    </row>
    <row r="70" spans="1:4" x14ac:dyDescent="0.25">
      <c r="A70" s="3" t="s">
        <v>7</v>
      </c>
      <c r="B70" s="3" t="s">
        <v>22</v>
      </c>
      <c r="C70" s="3" t="s">
        <v>23</v>
      </c>
      <c r="D70" s="16"/>
    </row>
    <row r="71" spans="1:4" x14ac:dyDescent="0.25">
      <c r="A71" s="2" t="s">
        <v>8</v>
      </c>
      <c r="B71" s="2" t="s">
        <v>22</v>
      </c>
      <c r="C71" s="2" t="s">
        <v>23</v>
      </c>
      <c r="D71" s="13"/>
    </row>
    <row r="72" spans="1:4" x14ac:dyDescent="0.25">
      <c r="A72" s="3" t="s">
        <v>9</v>
      </c>
      <c r="B72" s="3" t="s">
        <v>22</v>
      </c>
      <c r="C72" s="3" t="s">
        <v>23</v>
      </c>
      <c r="D72" s="16"/>
    </row>
    <row r="73" spans="1:4" x14ac:dyDescent="0.25">
      <c r="A73" s="2" t="s">
        <v>10</v>
      </c>
      <c r="B73" s="2" t="s">
        <v>22</v>
      </c>
      <c r="C73" s="2" t="s">
        <v>23</v>
      </c>
      <c r="D73" s="13"/>
    </row>
    <row r="74" spans="1:4" x14ac:dyDescent="0.25">
      <c r="A74" s="3" t="s">
        <v>27</v>
      </c>
      <c r="B74" s="3" t="s">
        <v>24</v>
      </c>
      <c r="C74" s="3" t="s">
        <v>25</v>
      </c>
      <c r="D74" s="16">
        <v>0</v>
      </c>
    </row>
    <row r="75" spans="1:4" x14ac:dyDescent="0.25">
      <c r="A75" s="2" t="s">
        <v>28</v>
      </c>
      <c r="B75" s="2" t="s">
        <v>24</v>
      </c>
      <c r="C75" s="2" t="s">
        <v>25</v>
      </c>
      <c r="D75" s="13">
        <v>0</v>
      </c>
    </row>
    <row r="76" spans="1:4" x14ac:dyDescent="0.25">
      <c r="A76" s="3" t="s">
        <v>3</v>
      </c>
      <c r="B76" s="3" t="s">
        <v>24</v>
      </c>
      <c r="C76" s="3" t="s">
        <v>25</v>
      </c>
      <c r="D76" s="16">
        <v>4</v>
      </c>
    </row>
    <row r="77" spans="1:4" x14ac:dyDescent="0.25">
      <c r="A77" s="2" t="s">
        <v>6</v>
      </c>
      <c r="B77" s="2" t="s">
        <v>24</v>
      </c>
      <c r="C77" s="2" t="s">
        <v>25</v>
      </c>
      <c r="D77" s="13"/>
    </row>
    <row r="78" spans="1:4" x14ac:dyDescent="0.25">
      <c r="A78" s="3" t="s">
        <v>7</v>
      </c>
      <c r="B78" s="3" t="s">
        <v>24</v>
      </c>
      <c r="C78" s="3" t="s">
        <v>25</v>
      </c>
      <c r="D78" s="16"/>
    </row>
    <row r="79" spans="1:4" x14ac:dyDescent="0.25">
      <c r="A79" s="2" t="s">
        <v>8</v>
      </c>
      <c r="B79" s="2" t="s">
        <v>24</v>
      </c>
      <c r="C79" s="2" t="s">
        <v>25</v>
      </c>
      <c r="D79" s="13"/>
    </row>
    <row r="80" spans="1:4" x14ac:dyDescent="0.25">
      <c r="A80" s="3" t="s">
        <v>9</v>
      </c>
      <c r="B80" s="3" t="s">
        <v>24</v>
      </c>
      <c r="C80" s="3" t="s">
        <v>25</v>
      </c>
      <c r="D80" s="16"/>
    </row>
    <row r="81" spans="1:4" x14ac:dyDescent="0.25">
      <c r="A81" s="2" t="s">
        <v>10</v>
      </c>
      <c r="B81" s="2" t="s">
        <v>24</v>
      </c>
      <c r="C81" s="2" t="s">
        <v>25</v>
      </c>
      <c r="D81" s="13"/>
    </row>
  </sheetData>
  <autoFilter ref="A1:D81" xr:uid="{FB1567D7-EF46-45A1-81C5-29C1CD65F4B3}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987D7-039C-4348-93D9-96931C488DBA}">
  <dimension ref="A1:O145"/>
  <sheetViews>
    <sheetView topLeftCell="A77" workbookViewId="0">
      <selection activeCell="G94" sqref="G94"/>
    </sheetView>
  </sheetViews>
  <sheetFormatPr defaultRowHeight="15" x14ac:dyDescent="0.25"/>
  <cols>
    <col min="1" max="3" width="14" style="7" customWidth="1"/>
    <col min="4" max="4" width="12" style="7" customWidth="1"/>
    <col min="5" max="5" width="25" style="7" customWidth="1"/>
    <col min="6" max="6" width="18" style="7" customWidth="1"/>
    <col min="7" max="7" width="22" style="7" customWidth="1"/>
    <col min="8" max="8" width="24" style="7" customWidth="1"/>
    <col min="9" max="10" width="28" style="7" customWidth="1"/>
    <col min="11" max="11" width="12" style="7" customWidth="1"/>
    <col min="12" max="12" width="14" style="7" customWidth="1"/>
    <col min="13" max="13" width="12" style="7" customWidth="1"/>
    <col min="14" max="14" width="14" style="7" customWidth="1"/>
    <col min="15" max="15" width="12" style="7" customWidth="1"/>
    <col min="16" max="16384" width="9.140625" style="7"/>
  </cols>
  <sheetData>
    <row r="1" spans="1:15" ht="42" customHeight="1" x14ac:dyDescent="0.25">
      <c r="A1" s="6" t="s">
        <v>40</v>
      </c>
      <c r="B1" s="6" t="s">
        <v>1</v>
      </c>
      <c r="C1" s="6" t="s">
        <v>30</v>
      </c>
      <c r="D1" s="6" t="s">
        <v>31</v>
      </c>
      <c r="E1" s="6" t="s">
        <v>32</v>
      </c>
      <c r="F1" s="6" t="s">
        <v>33</v>
      </c>
      <c r="G1" s="6" t="s">
        <v>46</v>
      </c>
      <c r="H1" s="6" t="s">
        <v>47</v>
      </c>
      <c r="I1" s="6" t="s">
        <v>48</v>
      </c>
      <c r="J1" s="6" t="s">
        <v>34</v>
      </c>
      <c r="K1" s="6" t="s">
        <v>35</v>
      </c>
      <c r="L1" s="6" t="s">
        <v>36</v>
      </c>
      <c r="M1" s="6" t="s">
        <v>49</v>
      </c>
      <c r="N1" s="6" t="s">
        <v>50</v>
      </c>
      <c r="O1" s="6" t="s">
        <v>37</v>
      </c>
    </row>
    <row r="2" spans="1:15" x14ac:dyDescent="0.25">
      <c r="A2" s="3" t="s">
        <v>41</v>
      </c>
      <c r="B2" s="3" t="s">
        <v>4</v>
      </c>
      <c r="C2" s="16">
        <v>0</v>
      </c>
      <c r="D2" s="16">
        <v>2</v>
      </c>
      <c r="E2" s="16">
        <v>3</v>
      </c>
      <c r="F2" s="16">
        <v>0</v>
      </c>
      <c r="G2" s="16">
        <v>0</v>
      </c>
      <c r="H2" s="16">
        <v>0</v>
      </c>
      <c r="I2" s="16">
        <v>0</v>
      </c>
      <c r="J2" s="16">
        <v>2</v>
      </c>
      <c r="K2" s="16">
        <v>10</v>
      </c>
      <c r="L2" s="16">
        <v>5</v>
      </c>
      <c r="M2" s="16">
        <v>0</v>
      </c>
      <c r="N2" s="16">
        <v>0</v>
      </c>
      <c r="O2" s="16">
        <v>22</v>
      </c>
    </row>
    <row r="3" spans="1:15" x14ac:dyDescent="0.25">
      <c r="A3" s="2" t="s">
        <v>41</v>
      </c>
      <c r="B3" s="2" t="s">
        <v>12</v>
      </c>
      <c r="C3" s="13">
        <v>0</v>
      </c>
      <c r="D3" s="13">
        <v>0</v>
      </c>
      <c r="E3" s="13">
        <v>0</v>
      </c>
      <c r="F3" s="13">
        <v>0</v>
      </c>
      <c r="G3" s="13">
        <v>0</v>
      </c>
      <c r="H3" s="13">
        <v>0</v>
      </c>
      <c r="I3" s="13">
        <v>0</v>
      </c>
      <c r="J3" s="13">
        <v>0</v>
      </c>
      <c r="K3" s="13">
        <v>0</v>
      </c>
      <c r="L3" s="13">
        <v>0</v>
      </c>
      <c r="M3" s="13">
        <v>0</v>
      </c>
      <c r="N3" s="13">
        <v>0</v>
      </c>
      <c r="O3" s="13">
        <v>0</v>
      </c>
    </row>
    <row r="4" spans="1:15" x14ac:dyDescent="0.25">
      <c r="A4" s="3" t="s">
        <v>41</v>
      </c>
      <c r="B4" s="3" t="s">
        <v>16</v>
      </c>
      <c r="C4" s="16">
        <v>0</v>
      </c>
      <c r="D4" s="16">
        <v>0</v>
      </c>
      <c r="E4" s="16">
        <v>0</v>
      </c>
      <c r="F4" s="16">
        <v>0</v>
      </c>
      <c r="G4" s="16">
        <v>0</v>
      </c>
      <c r="H4" s="16">
        <v>0</v>
      </c>
      <c r="I4" s="16">
        <v>0</v>
      </c>
      <c r="J4" s="16">
        <v>0</v>
      </c>
      <c r="K4" s="16">
        <v>6</v>
      </c>
      <c r="L4" s="16">
        <v>4</v>
      </c>
      <c r="M4" s="16">
        <v>0</v>
      </c>
      <c r="N4" s="16">
        <v>0</v>
      </c>
      <c r="O4" s="16">
        <v>10</v>
      </c>
    </row>
    <row r="5" spans="1:15" x14ac:dyDescent="0.25">
      <c r="A5" s="2" t="s">
        <v>41</v>
      </c>
      <c r="B5" s="2" t="s">
        <v>18</v>
      </c>
      <c r="C5" s="13">
        <v>0</v>
      </c>
      <c r="D5" s="13">
        <v>0</v>
      </c>
      <c r="E5" s="13">
        <v>2</v>
      </c>
      <c r="F5" s="13">
        <v>0</v>
      </c>
      <c r="G5" s="13">
        <v>0</v>
      </c>
      <c r="H5" s="13">
        <v>0</v>
      </c>
      <c r="I5" s="13">
        <v>0</v>
      </c>
      <c r="J5" s="13">
        <v>1</v>
      </c>
      <c r="K5" s="13">
        <v>0</v>
      </c>
      <c r="L5" s="13">
        <v>2</v>
      </c>
      <c r="M5" s="13">
        <v>0</v>
      </c>
      <c r="N5" s="13">
        <v>0</v>
      </c>
      <c r="O5" s="13">
        <v>5</v>
      </c>
    </row>
    <row r="6" spans="1:15" x14ac:dyDescent="0.25">
      <c r="A6" s="3" t="s">
        <v>41</v>
      </c>
      <c r="B6" s="3" t="s">
        <v>11</v>
      </c>
      <c r="C6" s="16">
        <v>0</v>
      </c>
      <c r="D6" s="16">
        <v>0</v>
      </c>
      <c r="E6" s="16">
        <v>1</v>
      </c>
      <c r="F6" s="16">
        <v>0</v>
      </c>
      <c r="G6" s="16">
        <v>0</v>
      </c>
      <c r="H6" s="16">
        <v>0</v>
      </c>
      <c r="I6" s="16">
        <v>0</v>
      </c>
      <c r="J6" s="16">
        <v>7</v>
      </c>
      <c r="K6" s="16">
        <v>12</v>
      </c>
      <c r="L6" s="16">
        <v>0</v>
      </c>
      <c r="M6" s="16">
        <v>0</v>
      </c>
      <c r="N6" s="16">
        <v>0</v>
      </c>
      <c r="O6" s="16">
        <v>20</v>
      </c>
    </row>
    <row r="7" spans="1:15" x14ac:dyDescent="0.25">
      <c r="A7" s="2" t="s">
        <v>41</v>
      </c>
      <c r="B7" s="2" t="s">
        <v>20</v>
      </c>
      <c r="C7" s="13">
        <v>0</v>
      </c>
      <c r="D7" s="13">
        <v>0</v>
      </c>
      <c r="E7" s="13">
        <v>0</v>
      </c>
      <c r="F7" s="13">
        <v>0</v>
      </c>
      <c r="G7" s="13">
        <v>0</v>
      </c>
      <c r="H7" s="13">
        <v>0</v>
      </c>
      <c r="I7" s="13">
        <v>0</v>
      </c>
      <c r="J7" s="13">
        <v>0</v>
      </c>
      <c r="K7" s="13">
        <v>0</v>
      </c>
      <c r="L7" s="13">
        <v>0</v>
      </c>
      <c r="M7" s="13">
        <v>0</v>
      </c>
      <c r="N7" s="13">
        <v>0</v>
      </c>
      <c r="O7" s="13">
        <v>0</v>
      </c>
    </row>
    <row r="8" spans="1:15" x14ac:dyDescent="0.25">
      <c r="A8" s="3" t="s">
        <v>41</v>
      </c>
      <c r="B8" s="3" t="s">
        <v>38</v>
      </c>
      <c r="C8" s="16">
        <v>0</v>
      </c>
      <c r="D8" s="16">
        <v>2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4</v>
      </c>
      <c r="L8" s="16">
        <v>1</v>
      </c>
      <c r="M8" s="16">
        <v>0</v>
      </c>
      <c r="N8" s="16">
        <v>0</v>
      </c>
      <c r="O8" s="16">
        <v>7</v>
      </c>
    </row>
    <row r="9" spans="1:15" x14ac:dyDescent="0.25">
      <c r="A9" s="2" t="s">
        <v>41</v>
      </c>
      <c r="B9" s="2" t="s">
        <v>13</v>
      </c>
      <c r="C9" s="13">
        <v>0</v>
      </c>
      <c r="D9" s="13">
        <v>0</v>
      </c>
      <c r="E9" s="13">
        <v>0</v>
      </c>
      <c r="F9" s="13">
        <v>0</v>
      </c>
      <c r="G9" s="13">
        <v>0</v>
      </c>
      <c r="H9" s="13">
        <v>0</v>
      </c>
      <c r="I9" s="13">
        <v>0</v>
      </c>
      <c r="J9" s="13">
        <v>0</v>
      </c>
      <c r="K9" s="13">
        <v>0</v>
      </c>
      <c r="L9" s="13">
        <v>0</v>
      </c>
      <c r="M9" s="13">
        <v>0</v>
      </c>
      <c r="N9" s="13">
        <v>0</v>
      </c>
      <c r="O9" s="13">
        <v>0</v>
      </c>
    </row>
    <row r="10" spans="1:15" x14ac:dyDescent="0.25">
      <c r="A10" s="3" t="s">
        <v>41</v>
      </c>
      <c r="B10" s="3" t="s">
        <v>22</v>
      </c>
      <c r="C10" s="16">
        <v>0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3</v>
      </c>
      <c r="M10" s="16">
        <v>0</v>
      </c>
      <c r="N10" s="16">
        <v>0</v>
      </c>
      <c r="O10" s="16">
        <v>3</v>
      </c>
    </row>
    <row r="11" spans="1:15" x14ac:dyDescent="0.25">
      <c r="A11" s="2" t="s">
        <v>41</v>
      </c>
      <c r="B11" s="2" t="s">
        <v>39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  <c r="J11" s="13">
        <v>0</v>
      </c>
      <c r="K11" s="13">
        <v>0</v>
      </c>
      <c r="L11" s="13">
        <v>0</v>
      </c>
      <c r="M11" s="13">
        <v>0</v>
      </c>
      <c r="N11" s="13">
        <v>0</v>
      </c>
      <c r="O11" s="13">
        <v>0</v>
      </c>
    </row>
    <row r="12" spans="1:15" x14ac:dyDescent="0.25">
      <c r="A12" s="3" t="s">
        <v>41</v>
      </c>
      <c r="B12" s="3" t="s">
        <v>15</v>
      </c>
      <c r="C12" s="16">
        <v>0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2</v>
      </c>
      <c r="K12" s="16">
        <v>4</v>
      </c>
      <c r="L12" s="16">
        <v>7</v>
      </c>
      <c r="M12" s="16">
        <v>0</v>
      </c>
      <c r="N12" s="16">
        <v>0</v>
      </c>
      <c r="O12" s="16">
        <v>13</v>
      </c>
    </row>
    <row r="13" spans="1:15" x14ac:dyDescent="0.25">
      <c r="A13" s="5" t="s">
        <v>41</v>
      </c>
      <c r="B13" s="5" t="s">
        <v>42</v>
      </c>
      <c r="C13" s="17">
        <f t="shared" ref="C13:O13" si="0">IF(COUNT(C2:C12)=0,"",SUM(C2:C12))</f>
        <v>0</v>
      </c>
      <c r="D13" s="17">
        <f t="shared" si="0"/>
        <v>4</v>
      </c>
      <c r="E13" s="17">
        <f t="shared" si="0"/>
        <v>6</v>
      </c>
      <c r="F13" s="17">
        <f t="shared" si="0"/>
        <v>0</v>
      </c>
      <c r="G13" s="17">
        <f t="shared" si="0"/>
        <v>0</v>
      </c>
      <c r="H13" s="17">
        <f t="shared" si="0"/>
        <v>0</v>
      </c>
      <c r="I13" s="17">
        <f t="shared" si="0"/>
        <v>0</v>
      </c>
      <c r="J13" s="17">
        <f t="shared" si="0"/>
        <v>12</v>
      </c>
      <c r="K13" s="17">
        <f t="shared" si="0"/>
        <v>36</v>
      </c>
      <c r="L13" s="17">
        <f t="shared" si="0"/>
        <v>22</v>
      </c>
      <c r="M13" s="17">
        <f t="shared" si="0"/>
        <v>0</v>
      </c>
      <c r="N13" s="17">
        <f t="shared" si="0"/>
        <v>0</v>
      </c>
      <c r="O13" s="17">
        <f t="shared" si="0"/>
        <v>80</v>
      </c>
    </row>
    <row r="14" spans="1:15" x14ac:dyDescent="0.25">
      <c r="A14" s="3" t="s">
        <v>43</v>
      </c>
      <c r="B14" s="3" t="s">
        <v>4</v>
      </c>
      <c r="C14" s="16">
        <v>0</v>
      </c>
      <c r="D14" s="16">
        <v>4</v>
      </c>
      <c r="E14" s="16">
        <v>1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5</v>
      </c>
      <c r="L14" s="16">
        <v>2</v>
      </c>
      <c r="M14" s="16">
        <v>0</v>
      </c>
      <c r="N14" s="16">
        <v>0</v>
      </c>
      <c r="O14" s="16">
        <v>12</v>
      </c>
    </row>
    <row r="15" spans="1:15" x14ac:dyDescent="0.25">
      <c r="A15" s="2" t="s">
        <v>43</v>
      </c>
      <c r="B15" s="2" t="s">
        <v>12</v>
      </c>
      <c r="C15" s="13">
        <v>0</v>
      </c>
      <c r="D15" s="13">
        <v>1</v>
      </c>
      <c r="E15" s="13">
        <v>0</v>
      </c>
      <c r="F15" s="13">
        <v>0</v>
      </c>
      <c r="G15" s="13">
        <v>0</v>
      </c>
      <c r="H15" s="13">
        <v>0</v>
      </c>
      <c r="I15" s="13">
        <v>0</v>
      </c>
      <c r="J15" s="13">
        <v>1</v>
      </c>
      <c r="K15" s="13">
        <v>5</v>
      </c>
      <c r="L15" s="13">
        <v>0</v>
      </c>
      <c r="M15" s="13">
        <v>0</v>
      </c>
      <c r="N15" s="13">
        <v>0</v>
      </c>
      <c r="O15" s="13">
        <v>7</v>
      </c>
    </row>
    <row r="16" spans="1:15" x14ac:dyDescent="0.25">
      <c r="A16" s="3" t="s">
        <v>43</v>
      </c>
      <c r="B16" s="3" t="s">
        <v>16</v>
      </c>
      <c r="C16" s="16">
        <v>0</v>
      </c>
      <c r="D16" s="16">
        <v>0</v>
      </c>
      <c r="E16" s="16">
        <v>5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1</v>
      </c>
      <c r="L16" s="16">
        <v>3</v>
      </c>
      <c r="M16" s="16">
        <v>0</v>
      </c>
      <c r="N16" s="16">
        <v>0</v>
      </c>
      <c r="O16" s="16">
        <v>9</v>
      </c>
    </row>
    <row r="17" spans="1:15" x14ac:dyDescent="0.25">
      <c r="A17" s="2" t="s">
        <v>43</v>
      </c>
      <c r="B17" s="2" t="s">
        <v>18</v>
      </c>
      <c r="C17" s="13">
        <v>0</v>
      </c>
      <c r="D17" s="13">
        <v>1</v>
      </c>
      <c r="E17" s="13">
        <v>0</v>
      </c>
      <c r="F17" s="13">
        <v>0</v>
      </c>
      <c r="G17" s="13">
        <v>0</v>
      </c>
      <c r="H17" s="13">
        <v>0</v>
      </c>
      <c r="I17" s="13">
        <v>0</v>
      </c>
      <c r="J17" s="13">
        <v>1</v>
      </c>
      <c r="K17" s="13">
        <v>0</v>
      </c>
      <c r="L17" s="13">
        <v>1</v>
      </c>
      <c r="M17" s="13">
        <v>0</v>
      </c>
      <c r="N17" s="13">
        <v>0</v>
      </c>
      <c r="O17" s="13">
        <v>3</v>
      </c>
    </row>
    <row r="18" spans="1:15" x14ac:dyDescent="0.25">
      <c r="A18" s="3" t="s">
        <v>43</v>
      </c>
      <c r="B18" s="3" t="s">
        <v>11</v>
      </c>
      <c r="C18" s="16">
        <v>0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3</v>
      </c>
      <c r="K18" s="16">
        <v>4</v>
      </c>
      <c r="L18" s="16">
        <v>0</v>
      </c>
      <c r="M18" s="16">
        <v>0</v>
      </c>
      <c r="N18" s="16">
        <v>0</v>
      </c>
      <c r="O18" s="16">
        <v>7</v>
      </c>
    </row>
    <row r="19" spans="1:15" x14ac:dyDescent="0.25">
      <c r="A19" s="2" t="s">
        <v>43</v>
      </c>
      <c r="B19" s="2" t="s">
        <v>20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  <c r="J19" s="13">
        <v>1</v>
      </c>
      <c r="K19" s="13">
        <v>0</v>
      </c>
      <c r="L19" s="13">
        <v>1</v>
      </c>
      <c r="M19" s="13">
        <v>0</v>
      </c>
      <c r="N19" s="13">
        <v>0</v>
      </c>
      <c r="O19" s="13">
        <v>2</v>
      </c>
    </row>
    <row r="20" spans="1:15" x14ac:dyDescent="0.25">
      <c r="A20" s="3" t="s">
        <v>43</v>
      </c>
      <c r="B20" s="3" t="s">
        <v>38</v>
      </c>
      <c r="C20" s="16">
        <v>0</v>
      </c>
      <c r="D20" s="16">
        <v>1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2</v>
      </c>
      <c r="L20" s="16">
        <v>3</v>
      </c>
      <c r="M20" s="16">
        <v>0</v>
      </c>
      <c r="N20" s="16">
        <v>0</v>
      </c>
      <c r="O20" s="16">
        <v>6</v>
      </c>
    </row>
    <row r="21" spans="1:15" x14ac:dyDescent="0.25">
      <c r="A21" s="2" t="s">
        <v>43</v>
      </c>
      <c r="B21" s="2" t="s">
        <v>13</v>
      </c>
      <c r="C21" s="13">
        <v>0</v>
      </c>
      <c r="D21" s="13">
        <v>0</v>
      </c>
      <c r="E21" s="13">
        <v>0</v>
      </c>
      <c r="F21" s="13">
        <v>0</v>
      </c>
      <c r="G21" s="13">
        <v>0</v>
      </c>
      <c r="H21" s="13">
        <v>0</v>
      </c>
      <c r="I21" s="13">
        <v>0</v>
      </c>
      <c r="J21" s="13">
        <v>0</v>
      </c>
      <c r="K21" s="13">
        <v>0</v>
      </c>
      <c r="L21" s="13">
        <v>0</v>
      </c>
      <c r="M21" s="13">
        <v>0</v>
      </c>
      <c r="N21" s="13">
        <v>0</v>
      </c>
      <c r="O21" s="13"/>
    </row>
    <row r="22" spans="1:15" x14ac:dyDescent="0.25">
      <c r="A22" s="3" t="s">
        <v>43</v>
      </c>
      <c r="B22" s="3" t="s">
        <v>22</v>
      </c>
      <c r="C22" s="16">
        <v>0</v>
      </c>
      <c r="D22" s="16">
        <v>1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1</v>
      </c>
    </row>
    <row r="23" spans="1:15" x14ac:dyDescent="0.25">
      <c r="A23" s="2" t="s">
        <v>43</v>
      </c>
      <c r="B23" s="2" t="s">
        <v>39</v>
      </c>
      <c r="C23" s="13">
        <v>0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  <c r="J23" s="13">
        <v>0</v>
      </c>
      <c r="K23" s="13">
        <v>0</v>
      </c>
      <c r="L23" s="13">
        <v>0</v>
      </c>
      <c r="M23" s="13">
        <v>0</v>
      </c>
      <c r="N23" s="13">
        <v>0</v>
      </c>
      <c r="O23" s="13">
        <v>0</v>
      </c>
    </row>
    <row r="24" spans="1:15" x14ac:dyDescent="0.25">
      <c r="A24" s="3" t="s">
        <v>43</v>
      </c>
      <c r="B24" s="3" t="s">
        <v>15</v>
      </c>
      <c r="C24" s="16">
        <v>0</v>
      </c>
      <c r="D24" s="16">
        <v>0</v>
      </c>
      <c r="E24" s="16">
        <v>2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6</v>
      </c>
      <c r="L24" s="16">
        <v>1</v>
      </c>
      <c r="M24" s="16">
        <v>0</v>
      </c>
      <c r="N24" s="16">
        <v>0</v>
      </c>
      <c r="O24" s="16">
        <v>9</v>
      </c>
    </row>
    <row r="25" spans="1:15" x14ac:dyDescent="0.25">
      <c r="A25" s="5" t="s">
        <v>43</v>
      </c>
      <c r="B25" s="5" t="s">
        <v>42</v>
      </c>
      <c r="C25" s="17">
        <f t="shared" ref="C25:O25" si="1">IF(COUNT(C14:C24)=0,"",SUM(C14:C24))</f>
        <v>0</v>
      </c>
      <c r="D25" s="17">
        <f t="shared" si="1"/>
        <v>8</v>
      </c>
      <c r="E25" s="17">
        <f t="shared" si="1"/>
        <v>8</v>
      </c>
      <c r="F25" s="17">
        <f t="shared" si="1"/>
        <v>0</v>
      </c>
      <c r="G25" s="17">
        <f t="shared" si="1"/>
        <v>0</v>
      </c>
      <c r="H25" s="17">
        <f t="shared" si="1"/>
        <v>0</v>
      </c>
      <c r="I25" s="17">
        <f t="shared" si="1"/>
        <v>0</v>
      </c>
      <c r="J25" s="17">
        <f t="shared" si="1"/>
        <v>6</v>
      </c>
      <c r="K25" s="17">
        <f t="shared" si="1"/>
        <v>23</v>
      </c>
      <c r="L25" s="17">
        <f t="shared" si="1"/>
        <v>11</v>
      </c>
      <c r="M25" s="17">
        <f t="shared" si="1"/>
        <v>0</v>
      </c>
      <c r="N25" s="17">
        <f t="shared" si="1"/>
        <v>0</v>
      </c>
      <c r="O25" s="17">
        <f t="shared" si="1"/>
        <v>56</v>
      </c>
    </row>
    <row r="26" spans="1:15" x14ac:dyDescent="0.25">
      <c r="A26" s="3" t="s">
        <v>44</v>
      </c>
      <c r="B26" s="3" t="s">
        <v>4</v>
      </c>
      <c r="C26" s="16">
        <v>0</v>
      </c>
      <c r="D26" s="16">
        <v>2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3</v>
      </c>
      <c r="K26" s="16">
        <v>6</v>
      </c>
      <c r="L26" s="16">
        <v>2</v>
      </c>
      <c r="M26" s="16">
        <v>0</v>
      </c>
      <c r="N26" s="16">
        <v>0</v>
      </c>
      <c r="O26" s="16">
        <v>13</v>
      </c>
    </row>
    <row r="27" spans="1:15" x14ac:dyDescent="0.25">
      <c r="A27" s="2" t="s">
        <v>44</v>
      </c>
      <c r="B27" s="2" t="s">
        <v>12</v>
      </c>
      <c r="C27" s="13">
        <v>0</v>
      </c>
      <c r="D27" s="13">
        <v>2</v>
      </c>
      <c r="E27" s="13">
        <v>0</v>
      </c>
      <c r="F27" s="13">
        <v>0</v>
      </c>
      <c r="G27" s="13">
        <v>0</v>
      </c>
      <c r="H27" s="13">
        <v>0</v>
      </c>
      <c r="I27" s="13">
        <v>0</v>
      </c>
      <c r="J27" s="13">
        <v>1</v>
      </c>
      <c r="K27" s="13">
        <v>7</v>
      </c>
      <c r="L27" s="13">
        <v>0</v>
      </c>
      <c r="M27" s="13">
        <v>0</v>
      </c>
      <c r="N27" s="13">
        <v>0</v>
      </c>
      <c r="O27" s="13">
        <v>10</v>
      </c>
    </row>
    <row r="28" spans="1:15" x14ac:dyDescent="0.25">
      <c r="A28" s="3" t="s">
        <v>44</v>
      </c>
      <c r="B28" s="3" t="s">
        <v>16</v>
      </c>
      <c r="C28" s="16">
        <v>0</v>
      </c>
      <c r="D28" s="16">
        <v>1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2</v>
      </c>
      <c r="L28" s="16">
        <v>4</v>
      </c>
      <c r="M28" s="16">
        <v>0</v>
      </c>
      <c r="N28" s="16">
        <v>0</v>
      </c>
      <c r="O28" s="16">
        <v>7</v>
      </c>
    </row>
    <row r="29" spans="1:15" x14ac:dyDescent="0.25">
      <c r="A29" s="2" t="s">
        <v>44</v>
      </c>
      <c r="B29" s="2" t="s">
        <v>18</v>
      </c>
      <c r="C29" s="13">
        <v>0</v>
      </c>
      <c r="D29" s="13">
        <v>2</v>
      </c>
      <c r="E29" s="13">
        <v>1</v>
      </c>
      <c r="F29" s="13">
        <v>0</v>
      </c>
      <c r="G29" s="13">
        <v>0</v>
      </c>
      <c r="H29" s="13">
        <v>0</v>
      </c>
      <c r="I29" s="13">
        <v>0</v>
      </c>
      <c r="J29" s="13">
        <v>1</v>
      </c>
      <c r="K29" s="13">
        <v>0</v>
      </c>
      <c r="L29" s="13">
        <v>3</v>
      </c>
      <c r="M29" s="13">
        <v>0</v>
      </c>
      <c r="N29" s="13">
        <v>0</v>
      </c>
      <c r="O29" s="13">
        <v>7</v>
      </c>
    </row>
    <row r="30" spans="1:15" x14ac:dyDescent="0.25">
      <c r="A30" s="3" t="s">
        <v>44</v>
      </c>
      <c r="B30" s="3" t="s">
        <v>11</v>
      </c>
      <c r="C30" s="16">
        <v>0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1</v>
      </c>
      <c r="M30" s="16">
        <v>0</v>
      </c>
      <c r="N30" s="16">
        <v>0</v>
      </c>
      <c r="O30" s="16">
        <v>1</v>
      </c>
    </row>
    <row r="31" spans="1:15" x14ac:dyDescent="0.25">
      <c r="A31" s="2" t="s">
        <v>44</v>
      </c>
      <c r="B31" s="2" t="s">
        <v>20</v>
      </c>
      <c r="C31" s="13">
        <v>0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  <c r="J31" s="13">
        <v>0</v>
      </c>
      <c r="K31" s="13">
        <v>0</v>
      </c>
      <c r="L31" s="13">
        <v>0</v>
      </c>
      <c r="M31" s="13">
        <v>0</v>
      </c>
      <c r="N31" s="13">
        <v>0</v>
      </c>
      <c r="O31" s="13">
        <v>0</v>
      </c>
    </row>
    <row r="32" spans="1:15" x14ac:dyDescent="0.25">
      <c r="A32" s="3" t="s">
        <v>44</v>
      </c>
      <c r="B32" s="3" t="s">
        <v>38</v>
      </c>
      <c r="C32" s="16">
        <v>0</v>
      </c>
      <c r="D32" s="16">
        <v>1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1</v>
      </c>
      <c r="L32" s="16">
        <v>2</v>
      </c>
      <c r="M32" s="16">
        <v>0</v>
      </c>
      <c r="N32" s="16">
        <v>0</v>
      </c>
      <c r="O32" s="16">
        <v>4</v>
      </c>
    </row>
    <row r="33" spans="1:15" x14ac:dyDescent="0.25">
      <c r="A33" s="2" t="s">
        <v>44</v>
      </c>
      <c r="B33" s="2" t="s">
        <v>13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/>
    </row>
    <row r="34" spans="1:15" x14ac:dyDescent="0.25">
      <c r="A34" s="3" t="s">
        <v>44</v>
      </c>
      <c r="B34" s="3" t="s">
        <v>22</v>
      </c>
      <c r="C34" s="16">
        <v>0</v>
      </c>
      <c r="D34" s="16">
        <v>2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1</v>
      </c>
      <c r="M34" s="16">
        <v>0</v>
      </c>
      <c r="N34" s="16">
        <v>0</v>
      </c>
      <c r="O34" s="16">
        <v>3</v>
      </c>
    </row>
    <row r="35" spans="1:15" x14ac:dyDescent="0.25">
      <c r="A35" s="2" t="s">
        <v>44</v>
      </c>
      <c r="B35" s="2" t="s">
        <v>39</v>
      </c>
      <c r="C35" s="13">
        <v>0</v>
      </c>
      <c r="D35" s="13">
        <v>0</v>
      </c>
      <c r="E35" s="13">
        <v>0</v>
      </c>
      <c r="F35" s="13">
        <v>0</v>
      </c>
      <c r="G35" s="13">
        <v>0</v>
      </c>
      <c r="H35" s="13">
        <v>0</v>
      </c>
      <c r="I35" s="13">
        <v>0</v>
      </c>
      <c r="J35" s="13">
        <v>0</v>
      </c>
      <c r="K35" s="13">
        <v>0</v>
      </c>
      <c r="L35" s="13">
        <v>0</v>
      </c>
      <c r="M35" s="13">
        <v>0</v>
      </c>
      <c r="N35" s="13">
        <v>0</v>
      </c>
      <c r="O35" s="13">
        <v>0</v>
      </c>
    </row>
    <row r="36" spans="1:15" x14ac:dyDescent="0.25">
      <c r="A36" s="3" t="s">
        <v>44</v>
      </c>
      <c r="B36" s="3" t="s">
        <v>15</v>
      </c>
      <c r="C36" s="16">
        <v>0</v>
      </c>
      <c r="D36" s="16">
        <v>0</v>
      </c>
      <c r="E36" s="16">
        <v>2</v>
      </c>
      <c r="F36" s="16">
        <v>0</v>
      </c>
      <c r="G36" s="16">
        <v>0</v>
      </c>
      <c r="H36" s="16">
        <v>0</v>
      </c>
      <c r="I36" s="16">
        <v>0</v>
      </c>
      <c r="J36" s="16">
        <v>1</v>
      </c>
      <c r="K36" s="16">
        <v>7</v>
      </c>
      <c r="L36" s="16">
        <v>0</v>
      </c>
      <c r="M36" s="16">
        <v>0</v>
      </c>
      <c r="N36" s="16">
        <v>0</v>
      </c>
      <c r="O36" s="16">
        <v>10</v>
      </c>
    </row>
    <row r="37" spans="1:15" x14ac:dyDescent="0.25">
      <c r="A37" s="5" t="s">
        <v>44</v>
      </c>
      <c r="B37" s="5" t="s">
        <v>42</v>
      </c>
      <c r="C37" s="17">
        <f t="shared" ref="C37:O37" si="2">IF(COUNT(C26:C36)=0,"",SUM(C26:C36))</f>
        <v>0</v>
      </c>
      <c r="D37" s="17">
        <f t="shared" si="2"/>
        <v>10</v>
      </c>
      <c r="E37" s="17">
        <f t="shared" si="2"/>
        <v>3</v>
      </c>
      <c r="F37" s="17">
        <f t="shared" si="2"/>
        <v>0</v>
      </c>
      <c r="G37" s="17">
        <f t="shared" si="2"/>
        <v>0</v>
      </c>
      <c r="H37" s="17">
        <f t="shared" si="2"/>
        <v>0</v>
      </c>
      <c r="I37" s="17">
        <f t="shared" si="2"/>
        <v>0</v>
      </c>
      <c r="J37" s="17">
        <f t="shared" si="2"/>
        <v>6</v>
      </c>
      <c r="K37" s="17">
        <f t="shared" si="2"/>
        <v>23</v>
      </c>
      <c r="L37" s="17">
        <f t="shared" si="2"/>
        <v>13</v>
      </c>
      <c r="M37" s="17">
        <f t="shared" si="2"/>
        <v>0</v>
      </c>
      <c r="N37" s="17">
        <f t="shared" si="2"/>
        <v>0</v>
      </c>
      <c r="O37" s="17">
        <f t="shared" si="2"/>
        <v>55</v>
      </c>
    </row>
    <row r="38" spans="1:15" x14ac:dyDescent="0.25">
      <c r="A38" s="3" t="s">
        <v>45</v>
      </c>
      <c r="B38" s="3" t="s">
        <v>4</v>
      </c>
      <c r="C38" s="16">
        <v>0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1</v>
      </c>
      <c r="K38" s="16">
        <v>7</v>
      </c>
      <c r="L38" s="16">
        <v>0</v>
      </c>
      <c r="M38" s="16">
        <v>0</v>
      </c>
      <c r="N38" s="16">
        <v>0</v>
      </c>
      <c r="O38" s="16">
        <v>0</v>
      </c>
    </row>
    <row r="39" spans="1:15" x14ac:dyDescent="0.25">
      <c r="A39" s="2" t="s">
        <v>45</v>
      </c>
      <c r="B39" s="2" t="s">
        <v>12</v>
      </c>
      <c r="C39" s="13">
        <v>0</v>
      </c>
      <c r="D39" s="13">
        <v>0</v>
      </c>
      <c r="E39" s="13">
        <v>0</v>
      </c>
      <c r="F39" s="13">
        <v>0</v>
      </c>
      <c r="G39" s="13">
        <v>0</v>
      </c>
      <c r="H39" s="13">
        <v>0</v>
      </c>
      <c r="I39" s="13">
        <v>0</v>
      </c>
      <c r="J39" s="13">
        <v>2</v>
      </c>
      <c r="K39" s="13">
        <v>3</v>
      </c>
      <c r="L39" s="13">
        <v>3</v>
      </c>
      <c r="M39" s="13">
        <v>0</v>
      </c>
      <c r="N39" s="13">
        <v>0</v>
      </c>
      <c r="O39" s="13">
        <v>0</v>
      </c>
    </row>
    <row r="40" spans="1:15" x14ac:dyDescent="0.25">
      <c r="A40" s="3" t="s">
        <v>45</v>
      </c>
      <c r="B40" s="3" t="s">
        <v>16</v>
      </c>
      <c r="C40" s="16">
        <v>0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>
        <v>2</v>
      </c>
      <c r="L40" s="16">
        <v>1</v>
      </c>
      <c r="M40" s="16">
        <v>0</v>
      </c>
      <c r="N40" s="16">
        <v>0</v>
      </c>
      <c r="O40" s="16">
        <v>0</v>
      </c>
    </row>
    <row r="41" spans="1:15" x14ac:dyDescent="0.25">
      <c r="A41" s="2" t="s">
        <v>45</v>
      </c>
      <c r="B41" s="2" t="s">
        <v>18</v>
      </c>
      <c r="C41" s="13">
        <v>0</v>
      </c>
      <c r="D41" s="13">
        <v>1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  <c r="J41" s="13">
        <v>1</v>
      </c>
      <c r="K41" s="13">
        <v>0</v>
      </c>
      <c r="L41" s="13">
        <v>4</v>
      </c>
      <c r="M41" s="13">
        <v>0</v>
      </c>
      <c r="N41" s="13">
        <v>0</v>
      </c>
      <c r="O41" s="13">
        <v>0</v>
      </c>
    </row>
    <row r="42" spans="1:15" x14ac:dyDescent="0.25">
      <c r="A42" s="3" t="s">
        <v>45</v>
      </c>
      <c r="B42" s="3" t="s">
        <v>11</v>
      </c>
      <c r="C42" s="16">
        <v>0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</row>
    <row r="43" spans="1:15" x14ac:dyDescent="0.25">
      <c r="A43" s="2" t="s">
        <v>45</v>
      </c>
      <c r="B43" s="2" t="s">
        <v>20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  <c r="J43" s="13">
        <v>0</v>
      </c>
      <c r="K43" s="13">
        <v>0</v>
      </c>
      <c r="L43" s="13">
        <v>0</v>
      </c>
      <c r="M43" s="13">
        <v>0</v>
      </c>
      <c r="N43" s="13">
        <v>0</v>
      </c>
      <c r="O43" s="13">
        <v>0</v>
      </c>
    </row>
    <row r="44" spans="1:15" x14ac:dyDescent="0.25">
      <c r="A44" s="3" t="s">
        <v>45</v>
      </c>
      <c r="B44" s="3" t="s">
        <v>38</v>
      </c>
      <c r="C44" s="16">
        <v>0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4</v>
      </c>
      <c r="L44" s="16">
        <v>1</v>
      </c>
      <c r="M44" s="16">
        <v>0</v>
      </c>
      <c r="N44" s="16">
        <v>0</v>
      </c>
      <c r="O44" s="16">
        <v>0</v>
      </c>
    </row>
    <row r="45" spans="1:15" x14ac:dyDescent="0.25">
      <c r="A45" s="2" t="s">
        <v>45</v>
      </c>
      <c r="B45" s="2" t="s">
        <v>13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  <c r="J45" s="13">
        <v>0</v>
      </c>
      <c r="K45" s="13">
        <v>0</v>
      </c>
      <c r="L45" s="13">
        <v>0</v>
      </c>
      <c r="M45" s="13">
        <v>0</v>
      </c>
      <c r="N45" s="13">
        <v>0</v>
      </c>
      <c r="O45" s="13">
        <v>0</v>
      </c>
    </row>
    <row r="46" spans="1:15" x14ac:dyDescent="0.25">
      <c r="A46" s="3" t="s">
        <v>45</v>
      </c>
      <c r="B46" s="3" t="s">
        <v>22</v>
      </c>
      <c r="C46" s="16">
        <v>0</v>
      </c>
      <c r="D46" s="16">
        <v>0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</row>
    <row r="47" spans="1:15" x14ac:dyDescent="0.25">
      <c r="A47" s="2" t="s">
        <v>45</v>
      </c>
      <c r="B47" s="2" t="s">
        <v>39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0</v>
      </c>
      <c r="I47" s="13">
        <v>0</v>
      </c>
      <c r="J47" s="13">
        <v>0</v>
      </c>
      <c r="K47" s="13">
        <v>0</v>
      </c>
      <c r="L47" s="13">
        <v>0</v>
      </c>
      <c r="M47" s="13">
        <v>0</v>
      </c>
      <c r="N47" s="13">
        <v>0</v>
      </c>
      <c r="O47" s="13">
        <v>0</v>
      </c>
    </row>
    <row r="48" spans="1:15" x14ac:dyDescent="0.25">
      <c r="A48" s="3" t="s">
        <v>45</v>
      </c>
      <c r="B48" s="3" t="s">
        <v>15</v>
      </c>
      <c r="C48" s="16">
        <v>0</v>
      </c>
      <c r="D48" s="16">
        <v>1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1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</row>
    <row r="49" spans="1:15" x14ac:dyDescent="0.25">
      <c r="A49" s="5" t="s">
        <v>45</v>
      </c>
      <c r="B49" s="5" t="s">
        <v>42</v>
      </c>
      <c r="C49" s="17">
        <f t="shared" ref="C49:O49" si="3">IF(COUNT(C38:C48)=0,"",SUM(C38:C48))</f>
        <v>0</v>
      </c>
      <c r="D49" s="17">
        <f t="shared" si="3"/>
        <v>2</v>
      </c>
      <c r="E49" s="17">
        <f t="shared" si="3"/>
        <v>0</v>
      </c>
      <c r="F49" s="17">
        <f t="shared" si="3"/>
        <v>0</v>
      </c>
      <c r="G49" s="17">
        <f t="shared" si="3"/>
        <v>0</v>
      </c>
      <c r="H49" s="17">
        <f t="shared" si="3"/>
        <v>0</v>
      </c>
      <c r="I49" s="17">
        <f t="shared" si="3"/>
        <v>0</v>
      </c>
      <c r="J49" s="17">
        <f t="shared" si="3"/>
        <v>5</v>
      </c>
      <c r="K49" s="17">
        <f t="shared" si="3"/>
        <v>16</v>
      </c>
      <c r="L49" s="17">
        <f t="shared" si="3"/>
        <v>9</v>
      </c>
      <c r="M49" s="17">
        <f t="shared" si="3"/>
        <v>0</v>
      </c>
      <c r="N49" s="17">
        <f t="shared" si="3"/>
        <v>0</v>
      </c>
      <c r="O49" s="17">
        <f t="shared" si="3"/>
        <v>0</v>
      </c>
    </row>
    <row r="50" spans="1:15" x14ac:dyDescent="0.25">
      <c r="A50" s="3" t="s">
        <v>27</v>
      </c>
      <c r="B50" s="3" t="s">
        <v>4</v>
      </c>
      <c r="C50" s="16">
        <v>0</v>
      </c>
      <c r="D50" s="16">
        <v>2</v>
      </c>
      <c r="E50" s="16">
        <v>1</v>
      </c>
      <c r="F50" s="16">
        <v>4</v>
      </c>
      <c r="G50" s="16">
        <v>0</v>
      </c>
      <c r="H50" s="16">
        <v>0</v>
      </c>
      <c r="I50" s="16">
        <v>0</v>
      </c>
      <c r="J50" s="16">
        <v>2</v>
      </c>
      <c r="K50" s="16">
        <v>2</v>
      </c>
      <c r="L50" s="16">
        <v>1</v>
      </c>
      <c r="M50" s="16">
        <v>0</v>
      </c>
      <c r="N50" s="16">
        <v>0</v>
      </c>
      <c r="O50" s="16">
        <v>12</v>
      </c>
    </row>
    <row r="51" spans="1:15" x14ac:dyDescent="0.25">
      <c r="A51" s="2" t="s">
        <v>27</v>
      </c>
      <c r="B51" s="2" t="s">
        <v>12</v>
      </c>
      <c r="C51" s="13">
        <v>3</v>
      </c>
      <c r="D51" s="13">
        <v>0</v>
      </c>
      <c r="E51" s="13">
        <v>0</v>
      </c>
      <c r="F51" s="13">
        <v>5</v>
      </c>
      <c r="G51" s="13">
        <v>0</v>
      </c>
      <c r="H51" s="13">
        <v>0</v>
      </c>
      <c r="I51" s="13">
        <v>0</v>
      </c>
      <c r="J51" s="13">
        <v>0</v>
      </c>
      <c r="K51" s="13">
        <v>1</v>
      </c>
      <c r="L51" s="13">
        <v>0</v>
      </c>
      <c r="M51" s="13">
        <v>0</v>
      </c>
      <c r="N51" s="13">
        <v>0</v>
      </c>
      <c r="O51" s="13">
        <v>9</v>
      </c>
    </row>
    <row r="52" spans="1:15" x14ac:dyDescent="0.25">
      <c r="A52" s="3" t="s">
        <v>27</v>
      </c>
      <c r="B52" s="3" t="s">
        <v>16</v>
      </c>
      <c r="C52" s="16">
        <v>1</v>
      </c>
      <c r="D52" s="16">
        <v>0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1</v>
      </c>
      <c r="M52" s="16">
        <v>0</v>
      </c>
      <c r="N52" s="16">
        <v>0</v>
      </c>
      <c r="O52" s="16">
        <v>2</v>
      </c>
    </row>
    <row r="53" spans="1:15" x14ac:dyDescent="0.25">
      <c r="A53" s="2" t="s">
        <v>27</v>
      </c>
      <c r="B53" s="2" t="s">
        <v>18</v>
      </c>
      <c r="C53" s="13">
        <v>0</v>
      </c>
      <c r="D53" s="13">
        <v>0</v>
      </c>
      <c r="E53" s="13">
        <v>0</v>
      </c>
      <c r="F53" s="13">
        <v>0</v>
      </c>
      <c r="G53" s="13">
        <v>0</v>
      </c>
      <c r="H53" s="13">
        <v>0</v>
      </c>
      <c r="I53" s="13">
        <v>0</v>
      </c>
      <c r="J53" s="13">
        <v>0</v>
      </c>
      <c r="K53" s="13">
        <v>0</v>
      </c>
      <c r="L53" s="13">
        <v>0</v>
      </c>
      <c r="M53" s="13">
        <v>0</v>
      </c>
      <c r="N53" s="13">
        <v>0</v>
      </c>
      <c r="O53" s="13">
        <v>0</v>
      </c>
    </row>
    <row r="54" spans="1:15" x14ac:dyDescent="0.25">
      <c r="A54" s="3" t="s">
        <v>27</v>
      </c>
      <c r="B54" s="3" t="s">
        <v>11</v>
      </c>
      <c r="C54" s="16">
        <v>0</v>
      </c>
      <c r="D54" s="16">
        <v>0</v>
      </c>
      <c r="E54" s="16">
        <v>0</v>
      </c>
      <c r="F54" s="16">
        <v>0</v>
      </c>
      <c r="G54" s="16">
        <v>0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</row>
    <row r="55" spans="1:15" x14ac:dyDescent="0.25">
      <c r="A55" s="2" t="s">
        <v>27</v>
      </c>
      <c r="B55" s="2" t="s">
        <v>20</v>
      </c>
      <c r="C55" s="13">
        <v>0</v>
      </c>
      <c r="D55" s="13">
        <v>0</v>
      </c>
      <c r="E55" s="13">
        <v>0</v>
      </c>
      <c r="F55" s="13">
        <v>0</v>
      </c>
      <c r="G55" s="13">
        <v>0</v>
      </c>
      <c r="H55" s="13">
        <v>0</v>
      </c>
      <c r="I55" s="13">
        <v>0</v>
      </c>
      <c r="J55" s="13">
        <v>0</v>
      </c>
      <c r="K55" s="13">
        <v>0</v>
      </c>
      <c r="L55" s="13">
        <v>0</v>
      </c>
      <c r="M55" s="13">
        <v>0</v>
      </c>
      <c r="N55" s="13">
        <v>0</v>
      </c>
      <c r="O55" s="13">
        <v>0</v>
      </c>
    </row>
    <row r="56" spans="1:15" x14ac:dyDescent="0.25">
      <c r="A56" s="3" t="s">
        <v>27</v>
      </c>
      <c r="B56" s="3" t="s">
        <v>38</v>
      </c>
      <c r="C56" s="16">
        <v>0</v>
      </c>
      <c r="D56" s="16">
        <v>0</v>
      </c>
      <c r="E56" s="16">
        <v>0</v>
      </c>
      <c r="F56" s="16">
        <v>0</v>
      </c>
      <c r="G56" s="16">
        <v>0</v>
      </c>
      <c r="H56" s="16">
        <v>0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</row>
    <row r="57" spans="1:15" x14ac:dyDescent="0.25">
      <c r="A57" s="2" t="s">
        <v>27</v>
      </c>
      <c r="B57" s="2" t="s">
        <v>13</v>
      </c>
      <c r="C57" s="13">
        <v>0</v>
      </c>
      <c r="D57" s="13">
        <v>0</v>
      </c>
      <c r="E57" s="13">
        <v>0</v>
      </c>
      <c r="F57" s="13">
        <v>3</v>
      </c>
      <c r="G57" s="13">
        <v>0</v>
      </c>
      <c r="H57" s="13">
        <v>0</v>
      </c>
      <c r="I57" s="13">
        <v>0</v>
      </c>
      <c r="J57" s="13">
        <v>0</v>
      </c>
      <c r="K57" s="13">
        <v>0</v>
      </c>
      <c r="L57" s="13">
        <v>1</v>
      </c>
      <c r="M57" s="13">
        <v>0</v>
      </c>
      <c r="N57" s="13">
        <v>0</v>
      </c>
      <c r="O57" s="13">
        <v>4</v>
      </c>
    </row>
    <row r="58" spans="1:15" x14ac:dyDescent="0.25">
      <c r="A58" s="3" t="s">
        <v>27</v>
      </c>
      <c r="B58" s="3" t="s">
        <v>22</v>
      </c>
      <c r="C58" s="16">
        <v>0</v>
      </c>
      <c r="D58" s="16">
        <v>2</v>
      </c>
      <c r="E58" s="16">
        <v>0</v>
      </c>
      <c r="F58" s="16">
        <v>0</v>
      </c>
      <c r="G58" s="16">
        <v>0</v>
      </c>
      <c r="H58" s="16">
        <v>0</v>
      </c>
      <c r="I58" s="16">
        <v>0</v>
      </c>
      <c r="J58" s="16">
        <v>1</v>
      </c>
      <c r="K58" s="16">
        <v>1</v>
      </c>
      <c r="L58" s="16">
        <v>0</v>
      </c>
      <c r="M58" s="16">
        <v>0</v>
      </c>
      <c r="N58" s="16">
        <v>0</v>
      </c>
      <c r="O58" s="16">
        <v>4</v>
      </c>
    </row>
    <row r="59" spans="1:15" x14ac:dyDescent="0.25">
      <c r="A59" s="2" t="s">
        <v>27</v>
      </c>
      <c r="B59" s="2" t="s">
        <v>39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  <c r="J59" s="13">
        <v>0</v>
      </c>
      <c r="K59" s="13">
        <v>0</v>
      </c>
      <c r="L59" s="13">
        <v>0</v>
      </c>
      <c r="M59" s="13">
        <v>0</v>
      </c>
      <c r="N59" s="13">
        <v>0</v>
      </c>
      <c r="O59" s="13">
        <v>0</v>
      </c>
    </row>
    <row r="60" spans="1:15" x14ac:dyDescent="0.25">
      <c r="A60" s="3" t="s">
        <v>27</v>
      </c>
      <c r="B60" s="3" t="s">
        <v>15</v>
      </c>
      <c r="C60" s="16">
        <v>0</v>
      </c>
      <c r="D60" s="16">
        <v>0</v>
      </c>
      <c r="E60" s="16">
        <v>0</v>
      </c>
      <c r="F60" s="16">
        <v>1</v>
      </c>
      <c r="G60" s="16">
        <v>0</v>
      </c>
      <c r="H60" s="16">
        <v>0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1</v>
      </c>
    </row>
    <row r="61" spans="1:15" x14ac:dyDescent="0.25">
      <c r="A61" s="5" t="s">
        <v>27</v>
      </c>
      <c r="B61" s="5" t="s">
        <v>42</v>
      </c>
      <c r="C61" s="17">
        <f t="shared" ref="C61:O61" si="4">IF(COUNT(C50:C60)=0,"",SUM(C50:C60))</f>
        <v>4</v>
      </c>
      <c r="D61" s="17">
        <f t="shared" si="4"/>
        <v>4</v>
      </c>
      <c r="E61" s="17">
        <f t="shared" si="4"/>
        <v>1</v>
      </c>
      <c r="F61" s="17">
        <f t="shared" si="4"/>
        <v>13</v>
      </c>
      <c r="G61" s="17">
        <f t="shared" si="4"/>
        <v>0</v>
      </c>
      <c r="H61" s="17">
        <f t="shared" si="4"/>
        <v>0</v>
      </c>
      <c r="I61" s="17">
        <f t="shared" si="4"/>
        <v>0</v>
      </c>
      <c r="J61" s="17">
        <f t="shared" si="4"/>
        <v>3</v>
      </c>
      <c r="K61" s="17">
        <f t="shared" si="4"/>
        <v>4</v>
      </c>
      <c r="L61" s="17">
        <f t="shared" si="4"/>
        <v>3</v>
      </c>
      <c r="M61" s="17">
        <f t="shared" si="4"/>
        <v>0</v>
      </c>
      <c r="N61" s="17">
        <f t="shared" si="4"/>
        <v>0</v>
      </c>
      <c r="O61" s="17">
        <f t="shared" si="4"/>
        <v>32</v>
      </c>
    </row>
    <row r="62" spans="1:15" x14ac:dyDescent="0.25">
      <c r="A62" s="3" t="s">
        <v>28</v>
      </c>
      <c r="B62" s="3" t="s">
        <v>4</v>
      </c>
      <c r="C62" s="16">
        <v>3</v>
      </c>
      <c r="D62" s="16">
        <v>2</v>
      </c>
      <c r="E62" s="16">
        <v>0</v>
      </c>
      <c r="F62" s="16">
        <v>3</v>
      </c>
      <c r="G62" s="16">
        <v>0</v>
      </c>
      <c r="H62" s="16">
        <v>0</v>
      </c>
      <c r="I62" s="16">
        <v>0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8</v>
      </c>
    </row>
    <row r="63" spans="1:15" x14ac:dyDescent="0.25">
      <c r="A63" s="2" t="s">
        <v>28</v>
      </c>
      <c r="B63" s="2" t="s">
        <v>12</v>
      </c>
      <c r="C63" s="13">
        <v>0</v>
      </c>
      <c r="D63" s="13">
        <v>0</v>
      </c>
      <c r="E63" s="13">
        <v>0</v>
      </c>
      <c r="F63" s="13">
        <v>6</v>
      </c>
      <c r="G63" s="13">
        <v>0</v>
      </c>
      <c r="H63" s="13">
        <v>0</v>
      </c>
      <c r="I63" s="13">
        <v>0</v>
      </c>
      <c r="J63" s="13">
        <v>1</v>
      </c>
      <c r="K63" s="13">
        <v>1</v>
      </c>
      <c r="L63" s="13">
        <v>0</v>
      </c>
      <c r="M63" s="13">
        <v>0</v>
      </c>
      <c r="N63" s="13">
        <v>0</v>
      </c>
      <c r="O63" s="13">
        <v>8</v>
      </c>
    </row>
    <row r="64" spans="1:15" x14ac:dyDescent="0.25">
      <c r="A64" s="3" t="s">
        <v>28</v>
      </c>
      <c r="B64" s="3" t="s">
        <v>16</v>
      </c>
      <c r="C64" s="16">
        <v>0</v>
      </c>
      <c r="D64" s="16">
        <v>0</v>
      </c>
      <c r="E64" s="16">
        <v>0</v>
      </c>
      <c r="F64" s="16">
        <v>1</v>
      </c>
      <c r="G64" s="16">
        <v>0</v>
      </c>
      <c r="H64" s="16">
        <v>0</v>
      </c>
      <c r="I64" s="16">
        <v>0</v>
      </c>
      <c r="J64" s="16">
        <v>0</v>
      </c>
      <c r="K64" s="16">
        <v>1</v>
      </c>
      <c r="L64" s="16">
        <v>0</v>
      </c>
      <c r="M64" s="16">
        <v>0</v>
      </c>
      <c r="N64" s="16">
        <v>0</v>
      </c>
      <c r="O64" s="16">
        <v>2</v>
      </c>
    </row>
    <row r="65" spans="1:15" x14ac:dyDescent="0.25">
      <c r="A65" s="2" t="s">
        <v>28</v>
      </c>
      <c r="B65" s="2" t="s">
        <v>18</v>
      </c>
      <c r="C65" s="13">
        <v>0</v>
      </c>
      <c r="D65" s="13">
        <v>0</v>
      </c>
      <c r="E65" s="13">
        <v>0</v>
      </c>
      <c r="F65" s="13">
        <v>3</v>
      </c>
      <c r="G65" s="13">
        <v>0</v>
      </c>
      <c r="H65" s="13">
        <v>0</v>
      </c>
      <c r="I65" s="13">
        <v>0</v>
      </c>
      <c r="J65" s="13">
        <v>0</v>
      </c>
      <c r="K65" s="13">
        <v>0</v>
      </c>
      <c r="L65" s="13">
        <v>0</v>
      </c>
      <c r="M65" s="13">
        <v>0</v>
      </c>
      <c r="N65" s="13">
        <v>0</v>
      </c>
      <c r="O65" s="13">
        <v>3</v>
      </c>
    </row>
    <row r="66" spans="1:15" x14ac:dyDescent="0.25">
      <c r="A66" s="3" t="s">
        <v>28</v>
      </c>
      <c r="B66" s="3" t="s">
        <v>11</v>
      </c>
      <c r="C66" s="16">
        <v>0</v>
      </c>
      <c r="D66" s="16">
        <v>0</v>
      </c>
      <c r="E66" s="16">
        <v>0</v>
      </c>
      <c r="F66" s="16">
        <v>0</v>
      </c>
      <c r="G66" s="16">
        <v>0</v>
      </c>
      <c r="H66" s="16">
        <v>0</v>
      </c>
      <c r="I66" s="16">
        <v>0</v>
      </c>
      <c r="J66" s="16">
        <v>5</v>
      </c>
      <c r="K66" s="16">
        <v>0</v>
      </c>
      <c r="L66" s="16">
        <v>0</v>
      </c>
      <c r="M66" s="16">
        <v>0</v>
      </c>
      <c r="N66" s="16">
        <v>0</v>
      </c>
      <c r="O66" s="16">
        <v>5</v>
      </c>
    </row>
    <row r="67" spans="1:15" x14ac:dyDescent="0.25">
      <c r="A67" s="2" t="s">
        <v>28</v>
      </c>
      <c r="B67" s="2" t="s">
        <v>20</v>
      </c>
      <c r="C67" s="13">
        <v>0</v>
      </c>
      <c r="D67" s="13">
        <v>0</v>
      </c>
      <c r="E67" s="13">
        <v>1</v>
      </c>
      <c r="F67" s="13">
        <v>1</v>
      </c>
      <c r="G67" s="13">
        <v>0</v>
      </c>
      <c r="H67" s="13">
        <v>0</v>
      </c>
      <c r="I67" s="13">
        <v>0</v>
      </c>
      <c r="J67" s="13">
        <v>0</v>
      </c>
      <c r="K67" s="13">
        <v>0</v>
      </c>
      <c r="L67" s="13">
        <v>0</v>
      </c>
      <c r="M67" s="13">
        <v>0</v>
      </c>
      <c r="N67" s="13">
        <v>1</v>
      </c>
      <c r="O67" s="13">
        <v>3</v>
      </c>
    </row>
    <row r="68" spans="1:15" x14ac:dyDescent="0.25">
      <c r="A68" s="3" t="s">
        <v>28</v>
      </c>
      <c r="B68" s="3" t="s">
        <v>38</v>
      </c>
      <c r="C68" s="16">
        <v>0</v>
      </c>
      <c r="D68" s="16">
        <v>0</v>
      </c>
      <c r="E68" s="16">
        <v>0</v>
      </c>
      <c r="F68" s="16">
        <v>0</v>
      </c>
      <c r="G68" s="16">
        <v>0</v>
      </c>
      <c r="H68" s="16">
        <v>0</v>
      </c>
      <c r="I68" s="16">
        <v>0</v>
      </c>
      <c r="J68" s="16">
        <v>0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</row>
    <row r="69" spans="1:15" x14ac:dyDescent="0.25">
      <c r="A69" s="2" t="s">
        <v>28</v>
      </c>
      <c r="B69" s="2" t="s">
        <v>13</v>
      </c>
      <c r="C69" s="13">
        <v>1</v>
      </c>
      <c r="D69" s="13">
        <v>0</v>
      </c>
      <c r="E69" s="13">
        <v>0</v>
      </c>
      <c r="F69" s="13">
        <v>0</v>
      </c>
      <c r="G69" s="13">
        <v>0</v>
      </c>
      <c r="H69" s="13">
        <v>0</v>
      </c>
      <c r="I69" s="13">
        <v>0</v>
      </c>
      <c r="J69" s="13">
        <v>0</v>
      </c>
      <c r="K69" s="13">
        <v>1</v>
      </c>
      <c r="L69" s="13">
        <v>0</v>
      </c>
      <c r="M69" s="13">
        <v>1</v>
      </c>
      <c r="N69" s="13">
        <v>0</v>
      </c>
      <c r="O69" s="13">
        <v>3</v>
      </c>
    </row>
    <row r="70" spans="1:15" x14ac:dyDescent="0.25">
      <c r="A70" s="3" t="s">
        <v>28</v>
      </c>
      <c r="B70" s="3" t="s">
        <v>22</v>
      </c>
      <c r="C70" s="16">
        <v>1</v>
      </c>
      <c r="D70" s="16">
        <v>0</v>
      </c>
      <c r="E70" s="16">
        <v>0</v>
      </c>
      <c r="F70" s="16">
        <v>1</v>
      </c>
      <c r="G70" s="16">
        <v>0</v>
      </c>
      <c r="H70" s="16">
        <v>0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2</v>
      </c>
    </row>
    <row r="71" spans="1:15" x14ac:dyDescent="0.25">
      <c r="A71" s="2" t="s">
        <v>28</v>
      </c>
      <c r="B71" s="2" t="s">
        <v>39</v>
      </c>
      <c r="C71" s="13">
        <v>0</v>
      </c>
      <c r="D71" s="13">
        <v>0</v>
      </c>
      <c r="E71" s="13">
        <v>0</v>
      </c>
      <c r="F71" s="13">
        <v>0</v>
      </c>
      <c r="G71" s="13">
        <v>0</v>
      </c>
      <c r="H71" s="13">
        <v>0</v>
      </c>
      <c r="I71" s="13">
        <v>0</v>
      </c>
      <c r="J71" s="13">
        <v>0</v>
      </c>
      <c r="K71" s="13">
        <v>0</v>
      </c>
      <c r="L71" s="13">
        <v>0</v>
      </c>
      <c r="M71" s="13">
        <v>0</v>
      </c>
      <c r="N71" s="13">
        <v>0</v>
      </c>
      <c r="O71" s="13">
        <v>0</v>
      </c>
    </row>
    <row r="72" spans="1:15" x14ac:dyDescent="0.25">
      <c r="A72" s="3" t="s">
        <v>28</v>
      </c>
      <c r="B72" s="3" t="s">
        <v>15</v>
      </c>
      <c r="C72" s="16">
        <v>0</v>
      </c>
      <c r="D72" s="16">
        <v>0</v>
      </c>
      <c r="E72" s="16">
        <v>0</v>
      </c>
      <c r="F72" s="16">
        <v>1</v>
      </c>
      <c r="G72" s="16">
        <v>1</v>
      </c>
      <c r="H72" s="16">
        <v>0</v>
      </c>
      <c r="I72" s="16">
        <v>1</v>
      </c>
      <c r="J72" s="16">
        <v>0</v>
      </c>
      <c r="K72" s="16">
        <v>2</v>
      </c>
      <c r="L72" s="16">
        <v>0</v>
      </c>
      <c r="M72" s="16">
        <v>0</v>
      </c>
      <c r="N72" s="16">
        <v>0</v>
      </c>
      <c r="O72" s="16">
        <v>5</v>
      </c>
    </row>
    <row r="73" spans="1:15" x14ac:dyDescent="0.25">
      <c r="A73" s="5" t="s">
        <v>28</v>
      </c>
      <c r="B73" s="5" t="s">
        <v>42</v>
      </c>
      <c r="C73" s="17">
        <f t="shared" ref="C73:O73" si="5">IF(COUNT(C62:C72)=0,"",SUM(C62:C72))</f>
        <v>5</v>
      </c>
      <c r="D73" s="17">
        <f t="shared" si="5"/>
        <v>2</v>
      </c>
      <c r="E73" s="17">
        <f t="shared" si="5"/>
        <v>1</v>
      </c>
      <c r="F73" s="17">
        <f t="shared" si="5"/>
        <v>16</v>
      </c>
      <c r="G73" s="17">
        <f t="shared" si="5"/>
        <v>1</v>
      </c>
      <c r="H73" s="17">
        <f t="shared" si="5"/>
        <v>0</v>
      </c>
      <c r="I73" s="17">
        <f t="shared" si="5"/>
        <v>1</v>
      </c>
      <c r="J73" s="17">
        <f t="shared" si="5"/>
        <v>6</v>
      </c>
      <c r="K73" s="17">
        <f t="shared" si="5"/>
        <v>5</v>
      </c>
      <c r="L73" s="17">
        <f t="shared" si="5"/>
        <v>0</v>
      </c>
      <c r="M73" s="17">
        <f t="shared" si="5"/>
        <v>1</v>
      </c>
      <c r="N73" s="17">
        <f t="shared" si="5"/>
        <v>1</v>
      </c>
      <c r="O73" s="17">
        <f t="shared" si="5"/>
        <v>39</v>
      </c>
    </row>
    <row r="74" spans="1:15" x14ac:dyDescent="0.25">
      <c r="A74" s="3" t="s">
        <v>3</v>
      </c>
      <c r="B74" s="3" t="s">
        <v>4</v>
      </c>
      <c r="C74" s="16">
        <v>1</v>
      </c>
      <c r="D74" s="16">
        <v>1</v>
      </c>
      <c r="E74" s="16">
        <v>0</v>
      </c>
      <c r="F74" s="16">
        <v>0</v>
      </c>
      <c r="G74" s="16">
        <v>0</v>
      </c>
      <c r="H74" s="16">
        <v>0</v>
      </c>
      <c r="I74" s="16">
        <v>0</v>
      </c>
      <c r="J74" s="16">
        <v>0</v>
      </c>
      <c r="K74" s="16">
        <v>1</v>
      </c>
      <c r="L74" s="16">
        <v>0</v>
      </c>
      <c r="M74" s="16">
        <v>0</v>
      </c>
      <c r="N74" s="16">
        <v>2</v>
      </c>
      <c r="O74" s="16">
        <v>5</v>
      </c>
    </row>
    <row r="75" spans="1:15" x14ac:dyDescent="0.25">
      <c r="A75" s="2" t="s">
        <v>3</v>
      </c>
      <c r="B75" s="2" t="s">
        <v>12</v>
      </c>
      <c r="C75" s="13">
        <v>0</v>
      </c>
      <c r="D75" s="13">
        <v>0</v>
      </c>
      <c r="E75" s="13">
        <v>0</v>
      </c>
      <c r="F75" s="13">
        <v>1</v>
      </c>
      <c r="G75" s="13">
        <v>0</v>
      </c>
      <c r="H75" s="13">
        <v>0</v>
      </c>
      <c r="I75" s="13">
        <v>0</v>
      </c>
      <c r="J75" s="13">
        <v>0</v>
      </c>
      <c r="K75" s="13">
        <v>0</v>
      </c>
      <c r="L75" s="13">
        <v>0</v>
      </c>
      <c r="M75" s="13">
        <v>0</v>
      </c>
      <c r="N75" s="13">
        <v>0</v>
      </c>
      <c r="O75" s="13">
        <v>1</v>
      </c>
    </row>
    <row r="76" spans="1:15" x14ac:dyDescent="0.25">
      <c r="A76" s="3" t="s">
        <v>3</v>
      </c>
      <c r="B76" s="3" t="s">
        <v>16</v>
      </c>
      <c r="C76" s="16">
        <v>0</v>
      </c>
      <c r="D76" s="16">
        <v>0</v>
      </c>
      <c r="E76" s="16">
        <v>0</v>
      </c>
      <c r="F76" s="16">
        <v>2</v>
      </c>
      <c r="G76" s="16">
        <v>0</v>
      </c>
      <c r="H76" s="16">
        <v>0</v>
      </c>
      <c r="I76" s="16">
        <v>1</v>
      </c>
      <c r="J76" s="16">
        <v>0</v>
      </c>
      <c r="K76" s="16">
        <v>1</v>
      </c>
      <c r="L76" s="16">
        <v>0</v>
      </c>
      <c r="M76" s="16">
        <v>0</v>
      </c>
      <c r="N76" s="16">
        <v>0</v>
      </c>
      <c r="O76" s="16">
        <v>4</v>
      </c>
    </row>
    <row r="77" spans="1:15" x14ac:dyDescent="0.25">
      <c r="A77" s="2" t="s">
        <v>3</v>
      </c>
      <c r="B77" s="2" t="s">
        <v>18</v>
      </c>
      <c r="C77" s="13">
        <v>0</v>
      </c>
      <c r="D77" s="13">
        <v>0</v>
      </c>
      <c r="E77" s="13">
        <v>0</v>
      </c>
      <c r="F77" s="13">
        <v>3</v>
      </c>
      <c r="G77" s="13">
        <v>0</v>
      </c>
      <c r="H77" s="13">
        <v>0</v>
      </c>
      <c r="I77" s="13">
        <v>0</v>
      </c>
      <c r="J77" s="13">
        <v>0</v>
      </c>
      <c r="K77" s="13">
        <v>0</v>
      </c>
      <c r="L77" s="13">
        <v>0</v>
      </c>
      <c r="M77" s="13">
        <v>0</v>
      </c>
      <c r="N77" s="13">
        <v>0</v>
      </c>
      <c r="O77" s="13">
        <v>3</v>
      </c>
    </row>
    <row r="78" spans="1:15" x14ac:dyDescent="0.25">
      <c r="A78" s="3" t="s">
        <v>3</v>
      </c>
      <c r="B78" s="3" t="s">
        <v>11</v>
      </c>
      <c r="C78" s="16">
        <v>4</v>
      </c>
      <c r="D78" s="16">
        <v>0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0</v>
      </c>
      <c r="L78" s="16">
        <v>1</v>
      </c>
      <c r="M78" s="16">
        <v>0</v>
      </c>
      <c r="N78" s="16">
        <v>0</v>
      </c>
      <c r="O78" s="16">
        <v>5</v>
      </c>
    </row>
    <row r="79" spans="1:15" x14ac:dyDescent="0.25">
      <c r="A79" s="2" t="s">
        <v>3</v>
      </c>
      <c r="B79" s="2" t="s">
        <v>20</v>
      </c>
      <c r="C79" s="13">
        <v>0</v>
      </c>
      <c r="D79" s="13">
        <v>1</v>
      </c>
      <c r="E79" s="13">
        <v>0</v>
      </c>
      <c r="F79" s="13">
        <v>0</v>
      </c>
      <c r="G79" s="13">
        <v>0</v>
      </c>
      <c r="H79" s="13">
        <v>0</v>
      </c>
      <c r="I79" s="13">
        <v>0</v>
      </c>
      <c r="J79" s="13">
        <v>0</v>
      </c>
      <c r="K79" s="13">
        <v>0</v>
      </c>
      <c r="L79" s="13">
        <v>0</v>
      </c>
      <c r="M79" s="13">
        <v>0</v>
      </c>
      <c r="N79" s="13">
        <v>0</v>
      </c>
      <c r="O79" s="13">
        <v>1</v>
      </c>
    </row>
    <row r="80" spans="1:15" x14ac:dyDescent="0.25">
      <c r="A80" s="3" t="s">
        <v>3</v>
      </c>
      <c r="B80" s="3" t="s">
        <v>38</v>
      </c>
      <c r="C80" s="16">
        <v>0</v>
      </c>
      <c r="D80" s="16">
        <v>0</v>
      </c>
      <c r="E80" s="16">
        <v>0</v>
      </c>
      <c r="F80" s="16">
        <v>0</v>
      </c>
      <c r="G80" s="16">
        <v>0</v>
      </c>
      <c r="H80" s="16">
        <v>0</v>
      </c>
      <c r="I80" s="16">
        <v>0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</row>
    <row r="81" spans="1:15" x14ac:dyDescent="0.25">
      <c r="A81" s="2" t="s">
        <v>3</v>
      </c>
      <c r="B81" s="2" t="s">
        <v>13</v>
      </c>
      <c r="C81" s="13">
        <v>1</v>
      </c>
      <c r="D81" s="13">
        <v>0</v>
      </c>
      <c r="E81" s="13">
        <v>0</v>
      </c>
      <c r="F81" s="13">
        <v>0</v>
      </c>
      <c r="G81" s="13">
        <v>1</v>
      </c>
      <c r="H81" s="13">
        <v>0</v>
      </c>
      <c r="I81" s="13">
        <v>0</v>
      </c>
      <c r="J81" s="13">
        <v>0</v>
      </c>
      <c r="K81" s="13">
        <v>0</v>
      </c>
      <c r="L81" s="13">
        <v>0</v>
      </c>
      <c r="M81" s="13">
        <v>0</v>
      </c>
      <c r="N81" s="13">
        <v>0</v>
      </c>
      <c r="O81" s="13">
        <v>2</v>
      </c>
    </row>
    <row r="82" spans="1:15" x14ac:dyDescent="0.25">
      <c r="A82" s="3" t="s">
        <v>3</v>
      </c>
      <c r="B82" s="3" t="s">
        <v>22</v>
      </c>
      <c r="C82" s="16">
        <v>0</v>
      </c>
      <c r="D82" s="16">
        <v>0</v>
      </c>
      <c r="E82" s="16">
        <v>0</v>
      </c>
      <c r="F82" s="16">
        <v>0</v>
      </c>
      <c r="G82" s="16">
        <v>0</v>
      </c>
      <c r="H82" s="16">
        <v>0</v>
      </c>
      <c r="I82" s="16">
        <v>0</v>
      </c>
      <c r="J82" s="16">
        <v>0</v>
      </c>
      <c r="K82" s="16">
        <v>0</v>
      </c>
      <c r="L82" s="16">
        <v>1</v>
      </c>
      <c r="M82" s="16">
        <v>0</v>
      </c>
      <c r="N82" s="16">
        <v>0</v>
      </c>
      <c r="O82" s="16">
        <v>1</v>
      </c>
    </row>
    <row r="83" spans="1:15" x14ac:dyDescent="0.25">
      <c r="A83" s="2" t="s">
        <v>3</v>
      </c>
      <c r="B83" s="2" t="s">
        <v>39</v>
      </c>
      <c r="C83" s="13">
        <v>0</v>
      </c>
      <c r="D83" s="13">
        <v>0</v>
      </c>
      <c r="E83" s="13">
        <v>0</v>
      </c>
      <c r="F83" s="13">
        <v>0</v>
      </c>
      <c r="G83" s="13">
        <v>0</v>
      </c>
      <c r="H83" s="13">
        <v>0</v>
      </c>
      <c r="I83" s="13">
        <v>0</v>
      </c>
      <c r="J83" s="13">
        <v>0</v>
      </c>
      <c r="K83" s="13">
        <v>1</v>
      </c>
      <c r="L83" s="13">
        <v>0</v>
      </c>
      <c r="M83" s="13">
        <v>0</v>
      </c>
      <c r="N83" s="13">
        <v>0</v>
      </c>
      <c r="O83" s="13">
        <v>1</v>
      </c>
    </row>
    <row r="84" spans="1:15" x14ac:dyDescent="0.25">
      <c r="A84" s="3" t="s">
        <v>3</v>
      </c>
      <c r="B84" s="3" t="s">
        <v>15</v>
      </c>
      <c r="C84" s="16">
        <v>0</v>
      </c>
      <c r="D84" s="16">
        <v>0</v>
      </c>
      <c r="E84" s="16">
        <v>0</v>
      </c>
      <c r="F84" s="16">
        <v>0</v>
      </c>
      <c r="G84" s="16">
        <v>2</v>
      </c>
      <c r="H84" s="16">
        <v>0</v>
      </c>
      <c r="I84" s="16">
        <v>0</v>
      </c>
      <c r="J84" s="16">
        <v>0</v>
      </c>
      <c r="K84" s="16">
        <v>0</v>
      </c>
      <c r="L84" s="16">
        <v>0</v>
      </c>
      <c r="M84" s="16">
        <v>1</v>
      </c>
      <c r="N84" s="16">
        <v>0</v>
      </c>
      <c r="O84" s="16">
        <v>3</v>
      </c>
    </row>
    <row r="85" spans="1:15" x14ac:dyDescent="0.25">
      <c r="A85" s="5" t="s">
        <v>3</v>
      </c>
      <c r="B85" s="5" t="s">
        <v>42</v>
      </c>
      <c r="C85" s="17">
        <f t="shared" ref="C85:O85" si="6">IF(COUNT(C74:C84)=0,"",SUM(C74:C84))</f>
        <v>6</v>
      </c>
      <c r="D85" s="17">
        <f t="shared" si="6"/>
        <v>2</v>
      </c>
      <c r="E85" s="17">
        <f t="shared" si="6"/>
        <v>0</v>
      </c>
      <c r="F85" s="17">
        <f t="shared" si="6"/>
        <v>6</v>
      </c>
      <c r="G85" s="17">
        <f t="shared" si="6"/>
        <v>3</v>
      </c>
      <c r="H85" s="17">
        <f t="shared" si="6"/>
        <v>0</v>
      </c>
      <c r="I85" s="17">
        <f t="shared" si="6"/>
        <v>1</v>
      </c>
      <c r="J85" s="17">
        <f t="shared" si="6"/>
        <v>0</v>
      </c>
      <c r="K85" s="17">
        <f t="shared" si="6"/>
        <v>3</v>
      </c>
      <c r="L85" s="17">
        <f t="shared" si="6"/>
        <v>2</v>
      </c>
      <c r="M85" s="17">
        <f t="shared" si="6"/>
        <v>1</v>
      </c>
      <c r="N85" s="17">
        <f t="shared" si="6"/>
        <v>2</v>
      </c>
      <c r="O85" s="17">
        <f t="shared" si="6"/>
        <v>26</v>
      </c>
    </row>
    <row r="86" spans="1:15" x14ac:dyDescent="0.25">
      <c r="A86" s="3" t="s">
        <v>6</v>
      </c>
      <c r="B86" s="3" t="s">
        <v>4</v>
      </c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 t="str">
        <f t="shared" ref="O86:O96" si="7">IF(COUNTA(C86:N86)=0,"",SUM(C86:N86))</f>
        <v/>
      </c>
    </row>
    <row r="87" spans="1:15" x14ac:dyDescent="0.25">
      <c r="A87" s="2" t="s">
        <v>6</v>
      </c>
      <c r="B87" s="2" t="s">
        <v>12</v>
      </c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 t="str">
        <f t="shared" si="7"/>
        <v/>
      </c>
    </row>
    <row r="88" spans="1:15" x14ac:dyDescent="0.25">
      <c r="A88" s="3" t="s">
        <v>6</v>
      </c>
      <c r="B88" s="3" t="s">
        <v>16</v>
      </c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 t="str">
        <f t="shared" si="7"/>
        <v/>
      </c>
    </row>
    <row r="89" spans="1:15" x14ac:dyDescent="0.25">
      <c r="A89" s="2" t="s">
        <v>6</v>
      </c>
      <c r="B89" s="2" t="s">
        <v>18</v>
      </c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 t="str">
        <f t="shared" si="7"/>
        <v/>
      </c>
    </row>
    <row r="90" spans="1:15" x14ac:dyDescent="0.25">
      <c r="A90" s="3" t="s">
        <v>6</v>
      </c>
      <c r="B90" s="3" t="s">
        <v>11</v>
      </c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 t="str">
        <f t="shared" si="7"/>
        <v/>
      </c>
    </row>
    <row r="91" spans="1:15" x14ac:dyDescent="0.25">
      <c r="A91" s="2" t="s">
        <v>6</v>
      </c>
      <c r="B91" s="2" t="s">
        <v>20</v>
      </c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 t="str">
        <f t="shared" si="7"/>
        <v/>
      </c>
    </row>
    <row r="92" spans="1:15" x14ac:dyDescent="0.25">
      <c r="A92" s="3" t="s">
        <v>6</v>
      </c>
      <c r="B92" s="3" t="s">
        <v>38</v>
      </c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 t="str">
        <f t="shared" si="7"/>
        <v/>
      </c>
    </row>
    <row r="93" spans="1:15" x14ac:dyDescent="0.25">
      <c r="A93" s="2" t="s">
        <v>6</v>
      </c>
      <c r="B93" s="2" t="s">
        <v>13</v>
      </c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 t="str">
        <f t="shared" si="7"/>
        <v/>
      </c>
    </row>
    <row r="94" spans="1:15" x14ac:dyDescent="0.25">
      <c r="A94" s="3" t="s">
        <v>6</v>
      </c>
      <c r="B94" s="3" t="s">
        <v>22</v>
      </c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 t="str">
        <f t="shared" si="7"/>
        <v/>
      </c>
    </row>
    <row r="95" spans="1:15" x14ac:dyDescent="0.25">
      <c r="A95" s="2" t="s">
        <v>6</v>
      </c>
      <c r="B95" s="2" t="s">
        <v>39</v>
      </c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 t="str">
        <f t="shared" si="7"/>
        <v/>
      </c>
    </row>
    <row r="96" spans="1:15" x14ac:dyDescent="0.25">
      <c r="A96" s="3" t="s">
        <v>6</v>
      </c>
      <c r="B96" s="3" t="s">
        <v>15</v>
      </c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 t="str">
        <f t="shared" si="7"/>
        <v/>
      </c>
    </row>
    <row r="97" spans="1:15" x14ac:dyDescent="0.25">
      <c r="A97" s="5" t="s">
        <v>6</v>
      </c>
      <c r="B97" s="5" t="s">
        <v>42</v>
      </c>
      <c r="C97" s="17" t="str">
        <f t="shared" ref="C97:O97" si="8">IF(COUNT(C86:C96)=0,"",SUM(C86:C96))</f>
        <v/>
      </c>
      <c r="D97" s="17" t="str">
        <f t="shared" si="8"/>
        <v/>
      </c>
      <c r="E97" s="17" t="str">
        <f t="shared" si="8"/>
        <v/>
      </c>
      <c r="F97" s="17" t="str">
        <f t="shared" si="8"/>
        <v/>
      </c>
      <c r="G97" s="17" t="str">
        <f t="shared" si="8"/>
        <v/>
      </c>
      <c r="H97" s="17" t="str">
        <f t="shared" si="8"/>
        <v/>
      </c>
      <c r="I97" s="17" t="str">
        <f t="shared" si="8"/>
        <v/>
      </c>
      <c r="J97" s="17" t="str">
        <f t="shared" si="8"/>
        <v/>
      </c>
      <c r="K97" s="17" t="str">
        <f t="shared" si="8"/>
        <v/>
      </c>
      <c r="L97" s="17" t="str">
        <f t="shared" si="8"/>
        <v/>
      </c>
      <c r="M97" s="17" t="str">
        <f t="shared" si="8"/>
        <v/>
      </c>
      <c r="N97" s="17" t="str">
        <f t="shared" si="8"/>
        <v/>
      </c>
      <c r="O97" s="17" t="str">
        <f t="shared" si="8"/>
        <v/>
      </c>
    </row>
    <row r="98" spans="1:15" x14ac:dyDescent="0.25">
      <c r="A98" s="3" t="s">
        <v>7</v>
      </c>
      <c r="B98" s="3" t="s">
        <v>4</v>
      </c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 t="str">
        <f t="shared" ref="O98:O108" si="9">IF(COUNTA(C98:N98)=0,"",SUM(C98:N98))</f>
        <v/>
      </c>
    </row>
    <row r="99" spans="1:15" x14ac:dyDescent="0.25">
      <c r="A99" s="2" t="s">
        <v>7</v>
      </c>
      <c r="B99" s="2" t="s">
        <v>12</v>
      </c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 t="str">
        <f t="shared" si="9"/>
        <v/>
      </c>
    </row>
    <row r="100" spans="1:15" x14ac:dyDescent="0.25">
      <c r="A100" s="3" t="s">
        <v>7</v>
      </c>
      <c r="B100" s="3" t="s">
        <v>16</v>
      </c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 t="str">
        <f t="shared" si="9"/>
        <v/>
      </c>
    </row>
    <row r="101" spans="1:15" x14ac:dyDescent="0.25">
      <c r="A101" s="2" t="s">
        <v>7</v>
      </c>
      <c r="B101" s="2" t="s">
        <v>18</v>
      </c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 t="str">
        <f t="shared" si="9"/>
        <v/>
      </c>
    </row>
    <row r="102" spans="1:15" x14ac:dyDescent="0.25">
      <c r="A102" s="3" t="s">
        <v>7</v>
      </c>
      <c r="B102" s="3" t="s">
        <v>11</v>
      </c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 t="str">
        <f t="shared" si="9"/>
        <v/>
      </c>
    </row>
    <row r="103" spans="1:15" x14ac:dyDescent="0.25">
      <c r="A103" s="2" t="s">
        <v>7</v>
      </c>
      <c r="B103" s="2" t="s">
        <v>20</v>
      </c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 t="str">
        <f t="shared" si="9"/>
        <v/>
      </c>
    </row>
    <row r="104" spans="1:15" x14ac:dyDescent="0.25">
      <c r="A104" s="3" t="s">
        <v>7</v>
      </c>
      <c r="B104" s="3" t="s">
        <v>38</v>
      </c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 t="str">
        <f t="shared" si="9"/>
        <v/>
      </c>
    </row>
    <row r="105" spans="1:15" x14ac:dyDescent="0.25">
      <c r="A105" s="2" t="s">
        <v>7</v>
      </c>
      <c r="B105" s="2" t="s">
        <v>13</v>
      </c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 t="str">
        <f t="shared" si="9"/>
        <v/>
      </c>
    </row>
    <row r="106" spans="1:15" x14ac:dyDescent="0.25">
      <c r="A106" s="3" t="s">
        <v>7</v>
      </c>
      <c r="B106" s="3" t="s">
        <v>22</v>
      </c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 t="str">
        <f t="shared" si="9"/>
        <v/>
      </c>
    </row>
    <row r="107" spans="1:15" x14ac:dyDescent="0.25">
      <c r="A107" s="2" t="s">
        <v>7</v>
      </c>
      <c r="B107" s="2" t="s">
        <v>39</v>
      </c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 t="str">
        <f t="shared" si="9"/>
        <v/>
      </c>
    </row>
    <row r="108" spans="1:15" x14ac:dyDescent="0.25">
      <c r="A108" s="3" t="s">
        <v>7</v>
      </c>
      <c r="B108" s="3" t="s">
        <v>15</v>
      </c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 t="str">
        <f t="shared" si="9"/>
        <v/>
      </c>
    </row>
    <row r="109" spans="1:15" x14ac:dyDescent="0.25">
      <c r="A109" s="5" t="s">
        <v>7</v>
      </c>
      <c r="B109" s="5" t="s">
        <v>42</v>
      </c>
      <c r="C109" s="17" t="str">
        <f t="shared" ref="C109:O109" si="10">IF(COUNT(C98:C108)=0,"",SUM(C98:C108))</f>
        <v/>
      </c>
      <c r="D109" s="17" t="str">
        <f t="shared" si="10"/>
        <v/>
      </c>
      <c r="E109" s="17" t="str">
        <f t="shared" si="10"/>
        <v/>
      </c>
      <c r="F109" s="17" t="str">
        <f t="shared" si="10"/>
        <v/>
      </c>
      <c r="G109" s="17" t="str">
        <f t="shared" si="10"/>
        <v/>
      </c>
      <c r="H109" s="17" t="str">
        <f t="shared" si="10"/>
        <v/>
      </c>
      <c r="I109" s="17" t="str">
        <f t="shared" si="10"/>
        <v/>
      </c>
      <c r="J109" s="17" t="str">
        <f t="shared" si="10"/>
        <v/>
      </c>
      <c r="K109" s="17" t="str">
        <f t="shared" si="10"/>
        <v/>
      </c>
      <c r="L109" s="17" t="str">
        <f t="shared" si="10"/>
        <v/>
      </c>
      <c r="M109" s="17" t="str">
        <f t="shared" si="10"/>
        <v/>
      </c>
      <c r="N109" s="17" t="str">
        <f t="shared" si="10"/>
        <v/>
      </c>
      <c r="O109" s="17" t="str">
        <f t="shared" si="10"/>
        <v/>
      </c>
    </row>
    <row r="110" spans="1:15" x14ac:dyDescent="0.25">
      <c r="A110" s="3" t="s">
        <v>8</v>
      </c>
      <c r="B110" s="3" t="s">
        <v>4</v>
      </c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 t="str">
        <f t="shared" ref="O110:O120" si="11">IF(COUNTA(C110:N110)=0,"",SUM(C110:N110))</f>
        <v/>
      </c>
    </row>
    <row r="111" spans="1:15" x14ac:dyDescent="0.25">
      <c r="A111" s="2" t="s">
        <v>8</v>
      </c>
      <c r="B111" s="2" t="s">
        <v>12</v>
      </c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 t="str">
        <f t="shared" si="11"/>
        <v/>
      </c>
    </row>
    <row r="112" spans="1:15" x14ac:dyDescent="0.25">
      <c r="A112" s="3" t="s">
        <v>8</v>
      </c>
      <c r="B112" s="3" t="s">
        <v>16</v>
      </c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 t="str">
        <f t="shared" si="11"/>
        <v/>
      </c>
    </row>
    <row r="113" spans="1:15" x14ac:dyDescent="0.25">
      <c r="A113" s="2" t="s">
        <v>8</v>
      </c>
      <c r="B113" s="2" t="s">
        <v>18</v>
      </c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 t="str">
        <f t="shared" si="11"/>
        <v/>
      </c>
    </row>
    <row r="114" spans="1:15" x14ac:dyDescent="0.25">
      <c r="A114" s="3" t="s">
        <v>8</v>
      </c>
      <c r="B114" s="3" t="s">
        <v>11</v>
      </c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 t="str">
        <f t="shared" si="11"/>
        <v/>
      </c>
    </row>
    <row r="115" spans="1:15" x14ac:dyDescent="0.25">
      <c r="A115" s="2" t="s">
        <v>8</v>
      </c>
      <c r="B115" s="2" t="s">
        <v>20</v>
      </c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 t="str">
        <f t="shared" si="11"/>
        <v/>
      </c>
    </row>
    <row r="116" spans="1:15" x14ac:dyDescent="0.25">
      <c r="A116" s="3" t="s">
        <v>8</v>
      </c>
      <c r="B116" s="3" t="s">
        <v>38</v>
      </c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 t="str">
        <f t="shared" si="11"/>
        <v/>
      </c>
    </row>
    <row r="117" spans="1:15" x14ac:dyDescent="0.25">
      <c r="A117" s="2" t="s">
        <v>8</v>
      </c>
      <c r="B117" s="2" t="s">
        <v>13</v>
      </c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 t="str">
        <f t="shared" si="11"/>
        <v/>
      </c>
    </row>
    <row r="118" spans="1:15" x14ac:dyDescent="0.25">
      <c r="A118" s="3" t="s">
        <v>8</v>
      </c>
      <c r="B118" s="3" t="s">
        <v>22</v>
      </c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 t="str">
        <f t="shared" si="11"/>
        <v/>
      </c>
    </row>
    <row r="119" spans="1:15" x14ac:dyDescent="0.25">
      <c r="A119" s="2" t="s">
        <v>8</v>
      </c>
      <c r="B119" s="2" t="s">
        <v>39</v>
      </c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 t="str">
        <f t="shared" si="11"/>
        <v/>
      </c>
    </row>
    <row r="120" spans="1:15" x14ac:dyDescent="0.25">
      <c r="A120" s="3" t="s">
        <v>8</v>
      </c>
      <c r="B120" s="3" t="s">
        <v>15</v>
      </c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 t="str">
        <f t="shared" si="11"/>
        <v/>
      </c>
    </row>
    <row r="121" spans="1:15" x14ac:dyDescent="0.25">
      <c r="A121" s="5" t="s">
        <v>8</v>
      </c>
      <c r="B121" s="5" t="s">
        <v>42</v>
      </c>
      <c r="C121" s="17" t="str">
        <f t="shared" ref="C121:O121" si="12">IF(COUNT(C110:C120)=0,"",SUM(C110:C120))</f>
        <v/>
      </c>
      <c r="D121" s="17" t="str">
        <f t="shared" si="12"/>
        <v/>
      </c>
      <c r="E121" s="17" t="str">
        <f t="shared" si="12"/>
        <v/>
      </c>
      <c r="F121" s="17" t="str">
        <f t="shared" si="12"/>
        <v/>
      </c>
      <c r="G121" s="17" t="str">
        <f t="shared" si="12"/>
        <v/>
      </c>
      <c r="H121" s="17" t="str">
        <f t="shared" si="12"/>
        <v/>
      </c>
      <c r="I121" s="17" t="str">
        <f t="shared" si="12"/>
        <v/>
      </c>
      <c r="J121" s="17" t="str">
        <f t="shared" si="12"/>
        <v/>
      </c>
      <c r="K121" s="17" t="str">
        <f t="shared" si="12"/>
        <v/>
      </c>
      <c r="L121" s="17" t="str">
        <f t="shared" si="12"/>
        <v/>
      </c>
      <c r="M121" s="17" t="str">
        <f t="shared" si="12"/>
        <v/>
      </c>
      <c r="N121" s="17" t="str">
        <f t="shared" si="12"/>
        <v/>
      </c>
      <c r="O121" s="17" t="str">
        <f t="shared" si="12"/>
        <v/>
      </c>
    </row>
    <row r="122" spans="1:15" x14ac:dyDescent="0.25">
      <c r="A122" s="3" t="s">
        <v>9</v>
      </c>
      <c r="B122" s="3" t="s">
        <v>4</v>
      </c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 t="str">
        <f t="shared" ref="O122:O132" si="13">IF(COUNTA(C122:N122)=0,"",SUM(C122:N122))</f>
        <v/>
      </c>
    </row>
    <row r="123" spans="1:15" x14ac:dyDescent="0.25">
      <c r="A123" s="2" t="s">
        <v>9</v>
      </c>
      <c r="B123" s="2" t="s">
        <v>12</v>
      </c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 t="str">
        <f t="shared" si="13"/>
        <v/>
      </c>
    </row>
    <row r="124" spans="1:15" x14ac:dyDescent="0.25">
      <c r="A124" s="3" t="s">
        <v>9</v>
      </c>
      <c r="B124" s="3" t="s">
        <v>16</v>
      </c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 t="str">
        <f t="shared" si="13"/>
        <v/>
      </c>
    </row>
    <row r="125" spans="1:15" x14ac:dyDescent="0.25">
      <c r="A125" s="2" t="s">
        <v>9</v>
      </c>
      <c r="B125" s="2" t="s">
        <v>18</v>
      </c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 t="str">
        <f t="shared" si="13"/>
        <v/>
      </c>
    </row>
    <row r="126" spans="1:15" x14ac:dyDescent="0.25">
      <c r="A126" s="3" t="s">
        <v>9</v>
      </c>
      <c r="B126" s="3" t="s">
        <v>11</v>
      </c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 t="str">
        <f t="shared" si="13"/>
        <v/>
      </c>
    </row>
    <row r="127" spans="1:15" x14ac:dyDescent="0.25">
      <c r="A127" s="2" t="s">
        <v>9</v>
      </c>
      <c r="B127" s="2" t="s">
        <v>20</v>
      </c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 t="str">
        <f t="shared" si="13"/>
        <v/>
      </c>
    </row>
    <row r="128" spans="1:15" x14ac:dyDescent="0.25">
      <c r="A128" s="3" t="s">
        <v>9</v>
      </c>
      <c r="B128" s="3" t="s">
        <v>38</v>
      </c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 t="str">
        <f t="shared" si="13"/>
        <v/>
      </c>
    </row>
    <row r="129" spans="1:15" x14ac:dyDescent="0.25">
      <c r="A129" s="2" t="s">
        <v>9</v>
      </c>
      <c r="B129" s="2" t="s">
        <v>13</v>
      </c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 t="str">
        <f t="shared" si="13"/>
        <v/>
      </c>
    </row>
    <row r="130" spans="1:15" x14ac:dyDescent="0.25">
      <c r="A130" s="3" t="s">
        <v>9</v>
      </c>
      <c r="B130" s="3" t="s">
        <v>22</v>
      </c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 t="str">
        <f t="shared" si="13"/>
        <v/>
      </c>
    </row>
    <row r="131" spans="1:15" x14ac:dyDescent="0.25">
      <c r="A131" s="2" t="s">
        <v>9</v>
      </c>
      <c r="B131" s="2" t="s">
        <v>39</v>
      </c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 t="str">
        <f t="shared" si="13"/>
        <v/>
      </c>
    </row>
    <row r="132" spans="1:15" x14ac:dyDescent="0.25">
      <c r="A132" s="3" t="s">
        <v>9</v>
      </c>
      <c r="B132" s="3" t="s">
        <v>15</v>
      </c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 t="str">
        <f t="shared" si="13"/>
        <v/>
      </c>
    </row>
    <row r="133" spans="1:15" x14ac:dyDescent="0.25">
      <c r="A133" s="5" t="s">
        <v>9</v>
      </c>
      <c r="B133" s="5" t="s">
        <v>42</v>
      </c>
      <c r="C133" s="17" t="str">
        <f t="shared" ref="C133:O133" si="14">IF(COUNT(C122:C132)=0,"",SUM(C122:C132))</f>
        <v/>
      </c>
      <c r="D133" s="17" t="str">
        <f t="shared" si="14"/>
        <v/>
      </c>
      <c r="E133" s="17" t="str">
        <f t="shared" si="14"/>
        <v/>
      </c>
      <c r="F133" s="17" t="str">
        <f t="shared" si="14"/>
        <v/>
      </c>
      <c r="G133" s="17" t="str">
        <f t="shared" si="14"/>
        <v/>
      </c>
      <c r="H133" s="17" t="str">
        <f t="shared" si="14"/>
        <v/>
      </c>
      <c r="I133" s="17" t="str">
        <f t="shared" si="14"/>
        <v/>
      </c>
      <c r="J133" s="17" t="str">
        <f t="shared" si="14"/>
        <v/>
      </c>
      <c r="K133" s="17" t="str">
        <f t="shared" si="14"/>
        <v/>
      </c>
      <c r="L133" s="17" t="str">
        <f t="shared" si="14"/>
        <v/>
      </c>
      <c r="M133" s="17" t="str">
        <f t="shared" si="14"/>
        <v/>
      </c>
      <c r="N133" s="17" t="str">
        <f t="shared" si="14"/>
        <v/>
      </c>
      <c r="O133" s="17" t="str">
        <f t="shared" si="14"/>
        <v/>
      </c>
    </row>
    <row r="134" spans="1:15" x14ac:dyDescent="0.25">
      <c r="A134" s="3" t="s">
        <v>10</v>
      </c>
      <c r="B134" s="3" t="s">
        <v>4</v>
      </c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 t="str">
        <f t="shared" ref="O134:O144" si="15">IF(COUNTA(C134:N134)=0,"",SUM(C134:N134))</f>
        <v/>
      </c>
    </row>
    <row r="135" spans="1:15" x14ac:dyDescent="0.25">
      <c r="A135" s="2" t="s">
        <v>10</v>
      </c>
      <c r="B135" s="2" t="s">
        <v>12</v>
      </c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 t="str">
        <f t="shared" si="15"/>
        <v/>
      </c>
    </row>
    <row r="136" spans="1:15" x14ac:dyDescent="0.25">
      <c r="A136" s="3" t="s">
        <v>10</v>
      </c>
      <c r="B136" s="3" t="s">
        <v>16</v>
      </c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 t="str">
        <f t="shared" si="15"/>
        <v/>
      </c>
    </row>
    <row r="137" spans="1:15" x14ac:dyDescent="0.25">
      <c r="A137" s="2" t="s">
        <v>10</v>
      </c>
      <c r="B137" s="2" t="s">
        <v>18</v>
      </c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 t="str">
        <f t="shared" si="15"/>
        <v/>
      </c>
    </row>
    <row r="138" spans="1:15" x14ac:dyDescent="0.25">
      <c r="A138" s="3" t="s">
        <v>10</v>
      </c>
      <c r="B138" s="3" t="s">
        <v>11</v>
      </c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 t="str">
        <f t="shared" si="15"/>
        <v/>
      </c>
    </row>
    <row r="139" spans="1:15" x14ac:dyDescent="0.25">
      <c r="A139" s="2" t="s">
        <v>10</v>
      </c>
      <c r="B139" s="2" t="s">
        <v>20</v>
      </c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 t="str">
        <f t="shared" si="15"/>
        <v/>
      </c>
    </row>
    <row r="140" spans="1:15" x14ac:dyDescent="0.25">
      <c r="A140" s="3" t="s">
        <v>10</v>
      </c>
      <c r="B140" s="3" t="s">
        <v>38</v>
      </c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 t="str">
        <f t="shared" si="15"/>
        <v/>
      </c>
    </row>
    <row r="141" spans="1:15" x14ac:dyDescent="0.25">
      <c r="A141" s="2" t="s">
        <v>10</v>
      </c>
      <c r="B141" s="2" t="s">
        <v>13</v>
      </c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 t="str">
        <f t="shared" si="15"/>
        <v/>
      </c>
    </row>
    <row r="142" spans="1:15" x14ac:dyDescent="0.25">
      <c r="A142" s="3" t="s">
        <v>10</v>
      </c>
      <c r="B142" s="3" t="s">
        <v>22</v>
      </c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 t="str">
        <f t="shared" si="15"/>
        <v/>
      </c>
    </row>
    <row r="143" spans="1:15" x14ac:dyDescent="0.25">
      <c r="A143" s="2" t="s">
        <v>10</v>
      </c>
      <c r="B143" s="2" t="s">
        <v>39</v>
      </c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 t="str">
        <f t="shared" si="15"/>
        <v/>
      </c>
    </row>
    <row r="144" spans="1:15" x14ac:dyDescent="0.25">
      <c r="A144" s="3" t="s">
        <v>10</v>
      </c>
      <c r="B144" s="3" t="s">
        <v>15</v>
      </c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 t="str">
        <f t="shared" si="15"/>
        <v/>
      </c>
    </row>
    <row r="145" spans="1:15" x14ac:dyDescent="0.25">
      <c r="A145" s="5" t="s">
        <v>10</v>
      </c>
      <c r="B145" s="5" t="s">
        <v>42</v>
      </c>
      <c r="C145" s="17" t="str">
        <f t="shared" ref="C145:O145" si="16">IF(COUNT(C134:C144)=0,"",SUM(C134:C144))</f>
        <v/>
      </c>
      <c r="D145" s="17" t="str">
        <f t="shared" si="16"/>
        <v/>
      </c>
      <c r="E145" s="17" t="str">
        <f t="shared" si="16"/>
        <v/>
      </c>
      <c r="F145" s="17" t="str">
        <f t="shared" si="16"/>
        <v/>
      </c>
      <c r="G145" s="17" t="str">
        <f t="shared" si="16"/>
        <v/>
      </c>
      <c r="H145" s="17" t="str">
        <f t="shared" si="16"/>
        <v/>
      </c>
      <c r="I145" s="17" t="str">
        <f t="shared" si="16"/>
        <v/>
      </c>
      <c r="J145" s="17" t="str">
        <f t="shared" si="16"/>
        <v/>
      </c>
      <c r="K145" s="17" t="str">
        <f t="shared" si="16"/>
        <v/>
      </c>
      <c r="L145" s="17" t="str">
        <f t="shared" si="16"/>
        <v/>
      </c>
      <c r="M145" s="17" t="str">
        <f t="shared" si="16"/>
        <v/>
      </c>
      <c r="N145" s="17" t="str">
        <f t="shared" si="16"/>
        <v/>
      </c>
      <c r="O145" s="17" t="str">
        <f t="shared" si="16"/>
        <v/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DCAA6-C7AB-4566-A558-1D612ACB5A81}">
  <dimension ref="A1:E118"/>
  <sheetViews>
    <sheetView tabSelected="1" zoomScaleNormal="100" workbookViewId="0">
      <selection activeCell="D2" sqref="D2:D8"/>
    </sheetView>
  </sheetViews>
  <sheetFormatPr defaultRowHeight="15" x14ac:dyDescent="0.25"/>
  <cols>
    <col min="1" max="1" width="10.140625" bestFit="1" customWidth="1"/>
    <col min="2" max="2" width="11" bestFit="1" customWidth="1"/>
    <col min="3" max="3" width="22" bestFit="1" customWidth="1"/>
    <col min="4" max="4" width="10.140625" bestFit="1" customWidth="1"/>
    <col min="5" max="5" width="8.85546875" bestFit="1" customWidth="1"/>
  </cols>
  <sheetData>
    <row r="1" spans="1:5" x14ac:dyDescent="0.25">
      <c r="A1" s="8" t="s">
        <v>40</v>
      </c>
      <c r="B1" s="8" t="s">
        <v>63</v>
      </c>
      <c r="C1" s="8" t="s">
        <v>1</v>
      </c>
      <c r="D1" s="9" t="s">
        <v>62</v>
      </c>
      <c r="E1" s="9" t="s">
        <v>61</v>
      </c>
    </row>
    <row r="2" spans="1:5" x14ac:dyDescent="0.25">
      <c r="A2" s="3" t="s">
        <v>41</v>
      </c>
      <c r="B2" s="3" t="s">
        <v>5</v>
      </c>
      <c r="C2" s="3" t="s">
        <v>69</v>
      </c>
      <c r="D2" s="3">
        <v>6789.5</v>
      </c>
      <c r="E2" s="3">
        <v>7250</v>
      </c>
    </row>
    <row r="3" spans="1:5" x14ac:dyDescent="0.25">
      <c r="A3" s="2" t="s">
        <v>41</v>
      </c>
      <c r="B3" s="2" t="s">
        <v>64</v>
      </c>
      <c r="C3" s="2" t="s">
        <v>69</v>
      </c>
      <c r="D3" s="2">
        <v>6123.5</v>
      </c>
      <c r="E3" s="2">
        <v>5210</v>
      </c>
    </row>
    <row r="4" spans="1:5" x14ac:dyDescent="0.25">
      <c r="A4" s="3" t="s">
        <v>41</v>
      </c>
      <c r="B4" s="3" t="s">
        <v>17</v>
      </c>
      <c r="C4" s="3" t="s">
        <v>56</v>
      </c>
      <c r="D4" s="3">
        <v>1445.5</v>
      </c>
      <c r="E4" s="3">
        <v>1210</v>
      </c>
    </row>
    <row r="5" spans="1:5" x14ac:dyDescent="0.25">
      <c r="A5" s="2" t="s">
        <v>41</v>
      </c>
      <c r="B5" s="2" t="s">
        <v>65</v>
      </c>
      <c r="C5" s="2" t="s">
        <v>57</v>
      </c>
      <c r="D5" s="2">
        <v>1256.5</v>
      </c>
      <c r="E5" s="2">
        <v>1210</v>
      </c>
    </row>
    <row r="6" spans="1:5" x14ac:dyDescent="0.25">
      <c r="A6" s="3" t="s">
        <v>41</v>
      </c>
      <c r="B6" s="3" t="s">
        <v>66</v>
      </c>
      <c r="C6" s="3" t="s">
        <v>58</v>
      </c>
      <c r="D6" s="3">
        <v>1208.5</v>
      </c>
      <c r="E6" s="3">
        <v>810</v>
      </c>
    </row>
    <row r="7" spans="1:5" x14ac:dyDescent="0.25">
      <c r="A7" s="2" t="s">
        <v>41</v>
      </c>
      <c r="B7" s="2" t="s">
        <v>67</v>
      </c>
      <c r="C7" s="2" t="s">
        <v>59</v>
      </c>
      <c r="D7" s="2">
        <v>632.5</v>
      </c>
      <c r="E7" s="2">
        <v>810</v>
      </c>
    </row>
    <row r="8" spans="1:5" ht="15.75" customHeight="1" x14ac:dyDescent="0.25">
      <c r="A8" s="3" t="s">
        <v>41</v>
      </c>
      <c r="B8" s="3" t="s">
        <v>68</v>
      </c>
      <c r="C8" s="3" t="s">
        <v>60</v>
      </c>
      <c r="D8" s="3">
        <v>0</v>
      </c>
      <c r="E8" s="3">
        <v>500</v>
      </c>
    </row>
    <row r="9" spans="1:5" x14ac:dyDescent="0.25">
      <c r="A9" s="2" t="s">
        <v>43</v>
      </c>
      <c r="B9" s="2" t="s">
        <v>5</v>
      </c>
      <c r="C9" s="2" t="s">
        <v>51</v>
      </c>
      <c r="D9" s="2">
        <v>4565</v>
      </c>
      <c r="E9" s="2">
        <v>3359.25</v>
      </c>
    </row>
    <row r="10" spans="1:5" x14ac:dyDescent="0.25">
      <c r="A10" s="3" t="s">
        <v>43</v>
      </c>
      <c r="B10" s="3" t="s">
        <v>5</v>
      </c>
      <c r="C10" s="3" t="s">
        <v>52</v>
      </c>
      <c r="D10" s="3">
        <v>2915.5</v>
      </c>
      <c r="E10" s="3">
        <v>2986</v>
      </c>
    </row>
    <row r="11" spans="1:5" x14ac:dyDescent="0.25">
      <c r="A11" s="2" t="s">
        <v>43</v>
      </c>
      <c r="B11" s="2" t="s">
        <v>5</v>
      </c>
      <c r="C11" s="2" t="s">
        <v>53</v>
      </c>
      <c r="D11" s="2">
        <v>168</v>
      </c>
      <c r="E11" s="2">
        <v>119.75</v>
      </c>
    </row>
    <row r="12" spans="1:5" x14ac:dyDescent="0.25">
      <c r="A12" s="3" t="s">
        <v>43</v>
      </c>
      <c r="B12" s="3" t="s">
        <v>64</v>
      </c>
      <c r="C12" s="3" t="s">
        <v>54</v>
      </c>
      <c r="D12" s="3">
        <v>3573.5</v>
      </c>
      <c r="E12" s="3">
        <v>3246</v>
      </c>
    </row>
    <row r="13" spans="1:5" x14ac:dyDescent="0.25">
      <c r="A13" s="2" t="s">
        <v>43</v>
      </c>
      <c r="B13" s="2" t="s">
        <v>64</v>
      </c>
      <c r="C13" s="2" t="s">
        <v>55</v>
      </c>
      <c r="D13" s="2">
        <v>2310</v>
      </c>
      <c r="E13" s="2">
        <v>2164</v>
      </c>
    </row>
    <row r="14" spans="1:5" x14ac:dyDescent="0.25">
      <c r="A14" s="3" t="s">
        <v>43</v>
      </c>
      <c r="B14" s="3" t="s">
        <v>17</v>
      </c>
      <c r="C14" s="3" t="s">
        <v>56</v>
      </c>
      <c r="D14" s="3">
        <v>1550.5</v>
      </c>
      <c r="E14" s="3">
        <v>1410</v>
      </c>
    </row>
    <row r="15" spans="1:5" x14ac:dyDescent="0.25">
      <c r="A15" s="2" t="s">
        <v>43</v>
      </c>
      <c r="B15" s="2" t="s">
        <v>65</v>
      </c>
      <c r="C15" s="2" t="s">
        <v>57</v>
      </c>
      <c r="D15" s="2">
        <v>1944.5</v>
      </c>
      <c r="E15" s="2">
        <v>1430</v>
      </c>
    </row>
    <row r="16" spans="1:5" x14ac:dyDescent="0.25">
      <c r="A16" s="3" t="s">
        <v>43</v>
      </c>
      <c r="B16" s="3" t="s">
        <v>66</v>
      </c>
      <c r="C16" s="3" t="s">
        <v>58</v>
      </c>
      <c r="D16" s="3">
        <v>796.5</v>
      </c>
      <c r="E16" s="3">
        <v>900</v>
      </c>
    </row>
    <row r="17" spans="1:5" x14ac:dyDescent="0.25">
      <c r="A17" s="2" t="s">
        <v>43</v>
      </c>
      <c r="B17" s="2" t="s">
        <v>67</v>
      </c>
      <c r="C17" s="2" t="s">
        <v>59</v>
      </c>
      <c r="D17" s="2">
        <v>912.5</v>
      </c>
      <c r="E17" s="2">
        <v>900</v>
      </c>
    </row>
    <row r="18" spans="1:5" x14ac:dyDescent="0.25">
      <c r="A18" s="3" t="s">
        <v>43</v>
      </c>
      <c r="B18" s="3" t="s">
        <v>68</v>
      </c>
      <c r="C18" s="3" t="s">
        <v>60</v>
      </c>
      <c r="D18" s="3">
        <v>0</v>
      </c>
      <c r="E18" s="3">
        <v>900</v>
      </c>
    </row>
    <row r="19" spans="1:5" x14ac:dyDescent="0.25">
      <c r="A19" s="2" t="s">
        <v>44</v>
      </c>
      <c r="B19" s="2" t="s">
        <v>5</v>
      </c>
      <c r="C19" s="2" t="s">
        <v>51</v>
      </c>
      <c r="D19" s="2">
        <v>4718</v>
      </c>
      <c r="E19" s="2">
        <v>4725</v>
      </c>
    </row>
    <row r="20" spans="1:5" x14ac:dyDescent="0.25">
      <c r="A20" s="3" t="s">
        <v>44</v>
      </c>
      <c r="B20" s="3" t="s">
        <v>5</v>
      </c>
      <c r="C20" s="3" t="s">
        <v>52</v>
      </c>
      <c r="D20" s="3">
        <v>3615.5</v>
      </c>
      <c r="E20" s="3">
        <v>4200</v>
      </c>
    </row>
    <row r="21" spans="1:5" x14ac:dyDescent="0.25">
      <c r="A21" s="2" t="s">
        <v>44</v>
      </c>
      <c r="B21" s="2" t="s">
        <v>5</v>
      </c>
      <c r="C21" s="2" t="s">
        <v>53</v>
      </c>
      <c r="D21" s="2">
        <v>399.5</v>
      </c>
      <c r="E21" s="2">
        <v>1575</v>
      </c>
    </row>
    <row r="22" spans="1:5" x14ac:dyDescent="0.25">
      <c r="A22" s="3" t="s">
        <v>44</v>
      </c>
      <c r="B22" s="3" t="s">
        <v>64</v>
      </c>
      <c r="C22" s="3" t="s">
        <v>54</v>
      </c>
      <c r="D22" s="3">
        <v>4393.5</v>
      </c>
      <c r="E22" s="3">
        <v>3846</v>
      </c>
    </row>
    <row r="23" spans="1:5" x14ac:dyDescent="0.25">
      <c r="A23" s="2" t="s">
        <v>44</v>
      </c>
      <c r="B23" s="2" t="s">
        <v>64</v>
      </c>
      <c r="C23" s="2" t="s">
        <v>55</v>
      </c>
      <c r="D23" s="2">
        <v>2514</v>
      </c>
      <c r="E23" s="2">
        <v>2564</v>
      </c>
    </row>
    <row r="24" spans="1:5" x14ac:dyDescent="0.25">
      <c r="A24" s="3" t="s">
        <v>44</v>
      </c>
      <c r="B24" s="3" t="s">
        <v>17</v>
      </c>
      <c r="C24" s="3" t="s">
        <v>56</v>
      </c>
      <c r="D24" s="3">
        <v>1299</v>
      </c>
      <c r="E24" s="3">
        <v>1610</v>
      </c>
    </row>
    <row r="25" spans="1:5" x14ac:dyDescent="0.25">
      <c r="A25" s="2" t="s">
        <v>44</v>
      </c>
      <c r="B25" s="2" t="s">
        <v>65</v>
      </c>
      <c r="C25" s="2" t="s">
        <v>57</v>
      </c>
      <c r="D25" s="2">
        <v>1663.5</v>
      </c>
      <c r="E25" s="2">
        <v>1660</v>
      </c>
    </row>
    <row r="26" spans="1:5" x14ac:dyDescent="0.25">
      <c r="A26" s="3" t="s">
        <v>44</v>
      </c>
      <c r="B26" s="3" t="s">
        <v>66</v>
      </c>
      <c r="C26" s="3" t="s">
        <v>58</v>
      </c>
      <c r="D26" s="3">
        <v>977.5</v>
      </c>
      <c r="E26" s="3">
        <v>1090</v>
      </c>
    </row>
    <row r="27" spans="1:5" x14ac:dyDescent="0.25">
      <c r="A27" s="2" t="s">
        <v>44</v>
      </c>
      <c r="B27" s="2" t="s">
        <v>67</v>
      </c>
      <c r="C27" s="2" t="s">
        <v>59</v>
      </c>
      <c r="D27" s="2">
        <v>1406</v>
      </c>
      <c r="E27" s="2">
        <v>1090</v>
      </c>
    </row>
    <row r="28" spans="1:5" x14ac:dyDescent="0.25">
      <c r="A28" s="3" t="s">
        <v>44</v>
      </c>
      <c r="B28" s="3" t="s">
        <v>68</v>
      </c>
      <c r="C28" s="3" t="s">
        <v>60</v>
      </c>
      <c r="D28" s="3">
        <v>2562</v>
      </c>
      <c r="E28" s="3">
        <v>1400</v>
      </c>
    </row>
    <row r="29" spans="1:5" ht="15.75" customHeight="1" x14ac:dyDescent="0.25">
      <c r="A29" s="2" t="s">
        <v>45</v>
      </c>
      <c r="B29" s="2" t="s">
        <v>5</v>
      </c>
      <c r="C29" s="2" t="s">
        <v>51</v>
      </c>
      <c r="D29" s="2">
        <v>3525</v>
      </c>
      <c r="E29" s="2">
        <v>4500.45</v>
      </c>
    </row>
    <row r="30" spans="1:5" x14ac:dyDescent="0.25">
      <c r="A30" s="3" t="s">
        <v>45</v>
      </c>
      <c r="B30" s="3" t="s">
        <v>5</v>
      </c>
      <c r="C30" s="3" t="s">
        <v>52</v>
      </c>
      <c r="D30" s="3">
        <v>3419.5</v>
      </c>
      <c r="E30" s="3">
        <v>4000.4</v>
      </c>
    </row>
    <row r="31" spans="1:5" x14ac:dyDescent="0.25">
      <c r="A31" s="2" t="s">
        <v>45</v>
      </c>
      <c r="B31" s="2" t="s">
        <v>5</v>
      </c>
      <c r="C31" s="2" t="s">
        <v>53</v>
      </c>
      <c r="D31" s="2">
        <v>411.5</v>
      </c>
      <c r="E31" s="2">
        <v>1500.15</v>
      </c>
    </row>
    <row r="32" spans="1:5" x14ac:dyDescent="0.25">
      <c r="A32" s="3" t="s">
        <v>45</v>
      </c>
      <c r="B32" s="3" t="s">
        <v>64</v>
      </c>
      <c r="C32" s="3" t="s">
        <v>54</v>
      </c>
      <c r="D32" s="3">
        <v>3736</v>
      </c>
      <c r="E32" s="3">
        <v>3666</v>
      </c>
    </row>
    <row r="33" spans="1:5" x14ac:dyDescent="0.25">
      <c r="A33" s="2" t="s">
        <v>45</v>
      </c>
      <c r="B33" s="2" t="s">
        <v>64</v>
      </c>
      <c r="C33" s="2" t="s">
        <v>55</v>
      </c>
      <c r="D33" s="2">
        <v>1603</v>
      </c>
      <c r="E33" s="2">
        <v>2444</v>
      </c>
    </row>
    <row r="34" spans="1:5" x14ac:dyDescent="0.25">
      <c r="A34" s="3" t="s">
        <v>45</v>
      </c>
      <c r="B34" s="3" t="s">
        <v>17</v>
      </c>
      <c r="C34" s="3" t="s">
        <v>56</v>
      </c>
      <c r="D34" s="3">
        <v>1343</v>
      </c>
      <c r="E34" s="3">
        <v>1490</v>
      </c>
    </row>
    <row r="35" spans="1:5" x14ac:dyDescent="0.25">
      <c r="A35" s="2" t="s">
        <v>45</v>
      </c>
      <c r="B35" s="2" t="s">
        <v>65</v>
      </c>
      <c r="C35" s="2" t="s">
        <v>57</v>
      </c>
      <c r="D35" s="2">
        <v>1253.5</v>
      </c>
      <c r="E35" s="2">
        <v>1510</v>
      </c>
    </row>
    <row r="36" spans="1:5" x14ac:dyDescent="0.25">
      <c r="A36" s="3" t="s">
        <v>45</v>
      </c>
      <c r="B36" s="3" t="s">
        <v>66</v>
      </c>
      <c r="C36" s="3" t="s">
        <v>58</v>
      </c>
      <c r="D36" s="3">
        <v>1115</v>
      </c>
      <c r="E36" s="3">
        <v>1010</v>
      </c>
    </row>
    <row r="37" spans="1:5" x14ac:dyDescent="0.25">
      <c r="A37" s="2" t="s">
        <v>45</v>
      </c>
      <c r="B37" s="2" t="s">
        <v>67</v>
      </c>
      <c r="C37" s="2" t="s">
        <v>59</v>
      </c>
      <c r="D37" s="2">
        <v>1130</v>
      </c>
      <c r="E37" s="2">
        <v>1260</v>
      </c>
    </row>
    <row r="38" spans="1:5" x14ac:dyDescent="0.25">
      <c r="A38" s="3" t="s">
        <v>45</v>
      </c>
      <c r="B38" s="3" t="s">
        <v>68</v>
      </c>
      <c r="C38" s="3" t="s">
        <v>60</v>
      </c>
      <c r="D38" s="3">
        <v>3163.5</v>
      </c>
      <c r="E38" s="3">
        <v>1750</v>
      </c>
    </row>
    <row r="39" spans="1:5" x14ac:dyDescent="0.25">
      <c r="A39" s="2" t="s">
        <v>27</v>
      </c>
      <c r="B39" s="2" t="s">
        <v>5</v>
      </c>
      <c r="C39" s="2" t="s">
        <v>51</v>
      </c>
      <c r="D39" s="2">
        <v>3351.5</v>
      </c>
      <c r="E39" s="2">
        <v>4702.95</v>
      </c>
    </row>
    <row r="40" spans="1:5" x14ac:dyDescent="0.25">
      <c r="A40" s="3" t="s">
        <v>27</v>
      </c>
      <c r="B40" s="3" t="s">
        <v>5</v>
      </c>
      <c r="C40" s="3" t="s">
        <v>52</v>
      </c>
      <c r="D40" s="3">
        <v>2566.5</v>
      </c>
      <c r="E40" s="3">
        <v>4180.3999999999996</v>
      </c>
    </row>
    <row r="41" spans="1:5" x14ac:dyDescent="0.25">
      <c r="A41" s="2" t="s">
        <v>27</v>
      </c>
      <c r="B41" s="2" t="s">
        <v>5</v>
      </c>
      <c r="C41" s="2" t="s">
        <v>53</v>
      </c>
      <c r="D41" s="2">
        <v>664</v>
      </c>
      <c r="E41" s="2">
        <v>1567.65</v>
      </c>
    </row>
    <row r="42" spans="1:5" x14ac:dyDescent="0.25">
      <c r="A42" s="3" t="s">
        <v>27</v>
      </c>
      <c r="B42" s="3" t="s">
        <v>64</v>
      </c>
      <c r="C42" s="3" t="s">
        <v>54</v>
      </c>
      <c r="D42" s="3">
        <v>3479</v>
      </c>
      <c r="E42" s="3">
        <v>3786</v>
      </c>
    </row>
    <row r="43" spans="1:5" x14ac:dyDescent="0.25">
      <c r="A43" s="2" t="s">
        <v>27</v>
      </c>
      <c r="B43" s="2" t="s">
        <v>64</v>
      </c>
      <c r="C43" s="2" t="s">
        <v>55</v>
      </c>
      <c r="D43" s="2">
        <v>2291.5</v>
      </c>
      <c r="E43" s="2">
        <v>2524</v>
      </c>
    </row>
    <row r="44" spans="1:5" x14ac:dyDescent="0.25">
      <c r="A44" s="3" t="s">
        <v>27</v>
      </c>
      <c r="B44" s="3" t="s">
        <v>17</v>
      </c>
      <c r="C44" s="3" t="s">
        <v>56</v>
      </c>
      <c r="D44" s="3">
        <v>1306.5</v>
      </c>
      <c r="E44" s="3">
        <v>1560</v>
      </c>
    </row>
    <row r="45" spans="1:5" x14ac:dyDescent="0.25">
      <c r="A45" s="2" t="s">
        <v>27</v>
      </c>
      <c r="B45" s="2" t="s">
        <v>65</v>
      </c>
      <c r="C45" s="2" t="s">
        <v>57</v>
      </c>
      <c r="D45" s="2">
        <v>1422</v>
      </c>
      <c r="E45" s="2">
        <v>1580</v>
      </c>
    </row>
    <row r="46" spans="1:5" x14ac:dyDescent="0.25">
      <c r="A46" s="3" t="s">
        <v>27</v>
      </c>
      <c r="B46" s="3" t="s">
        <v>66</v>
      </c>
      <c r="C46" s="3" t="s">
        <v>58</v>
      </c>
      <c r="D46" s="3">
        <v>633.5</v>
      </c>
      <c r="E46" s="3">
        <v>1060</v>
      </c>
    </row>
    <row r="47" spans="1:5" x14ac:dyDescent="0.25">
      <c r="A47" s="2" t="s">
        <v>27</v>
      </c>
      <c r="B47" s="2" t="s">
        <v>67</v>
      </c>
      <c r="C47" s="2" t="s">
        <v>59</v>
      </c>
      <c r="D47" s="2">
        <v>1471</v>
      </c>
      <c r="E47" s="2">
        <v>1310</v>
      </c>
    </row>
    <row r="48" spans="1:5" x14ac:dyDescent="0.25">
      <c r="A48" s="3" t="s">
        <v>27</v>
      </c>
      <c r="B48" s="3" t="s">
        <v>68</v>
      </c>
      <c r="C48" s="3" t="s">
        <v>60</v>
      </c>
      <c r="D48" s="3">
        <v>2664</v>
      </c>
      <c r="E48" s="3">
        <v>1850</v>
      </c>
    </row>
    <row r="49" spans="1:5" x14ac:dyDescent="0.25">
      <c r="A49" s="2" t="s">
        <v>28</v>
      </c>
      <c r="B49" s="2" t="s">
        <v>5</v>
      </c>
      <c r="C49" s="2" t="s">
        <v>51</v>
      </c>
      <c r="D49" s="2">
        <v>3484</v>
      </c>
      <c r="E49" s="2">
        <v>4950.45</v>
      </c>
    </row>
    <row r="50" spans="1:5" x14ac:dyDescent="0.25">
      <c r="A50" s="3" t="s">
        <v>28</v>
      </c>
      <c r="B50" s="3" t="s">
        <v>5</v>
      </c>
      <c r="C50" s="3" t="s">
        <v>52</v>
      </c>
      <c r="D50" s="3">
        <v>3510</v>
      </c>
      <c r="E50" s="3">
        <v>4400.3999999999996</v>
      </c>
    </row>
    <row r="51" spans="1:5" x14ac:dyDescent="0.25">
      <c r="A51" s="2" t="s">
        <v>28</v>
      </c>
      <c r="B51" s="2" t="s">
        <v>5</v>
      </c>
      <c r="C51" s="2" t="s">
        <v>53</v>
      </c>
      <c r="D51" s="2">
        <v>1103.5</v>
      </c>
      <c r="E51" s="2">
        <v>1650.15</v>
      </c>
    </row>
    <row r="52" spans="1:5" x14ac:dyDescent="0.25">
      <c r="A52" s="3" t="s">
        <v>28</v>
      </c>
      <c r="B52" s="3" t="s">
        <v>64</v>
      </c>
      <c r="C52" s="3" t="s">
        <v>54</v>
      </c>
      <c r="D52" s="3">
        <v>3069</v>
      </c>
      <c r="E52" s="3">
        <v>3966</v>
      </c>
    </row>
    <row r="53" spans="1:5" x14ac:dyDescent="0.25">
      <c r="A53" s="2" t="s">
        <v>28</v>
      </c>
      <c r="B53" s="2" t="s">
        <v>64</v>
      </c>
      <c r="C53" s="2" t="s">
        <v>55</v>
      </c>
      <c r="D53" s="2">
        <v>2398.5</v>
      </c>
      <c r="E53" s="2">
        <v>2644</v>
      </c>
    </row>
    <row r="54" spans="1:5" x14ac:dyDescent="0.25">
      <c r="A54" s="3" t="s">
        <v>28</v>
      </c>
      <c r="B54" s="3" t="s">
        <v>17</v>
      </c>
      <c r="C54" s="3" t="s">
        <v>56</v>
      </c>
      <c r="D54" s="3">
        <v>1089.5</v>
      </c>
      <c r="E54" s="3">
        <v>1630</v>
      </c>
    </row>
    <row r="55" spans="1:5" x14ac:dyDescent="0.25">
      <c r="A55" s="2" t="s">
        <v>28</v>
      </c>
      <c r="B55" s="2" t="s">
        <v>65</v>
      </c>
      <c r="C55" s="2" t="s">
        <v>57</v>
      </c>
      <c r="D55" s="2">
        <v>1493.5</v>
      </c>
      <c r="E55" s="2">
        <v>1660</v>
      </c>
    </row>
    <row r="56" spans="1:5" x14ac:dyDescent="0.25">
      <c r="A56" s="3" t="s">
        <v>28</v>
      </c>
      <c r="B56" s="3" t="s">
        <v>66</v>
      </c>
      <c r="C56" s="3" t="s">
        <v>58</v>
      </c>
      <c r="D56" s="3">
        <v>757</v>
      </c>
      <c r="E56" s="3">
        <v>1110</v>
      </c>
    </row>
    <row r="57" spans="1:5" x14ac:dyDescent="0.25">
      <c r="A57" s="2" t="s">
        <v>28</v>
      </c>
      <c r="B57" s="2" t="s">
        <v>67</v>
      </c>
      <c r="C57" s="2" t="s">
        <v>59</v>
      </c>
      <c r="D57" s="2">
        <v>991</v>
      </c>
      <c r="E57" s="2">
        <v>1370</v>
      </c>
    </row>
    <row r="58" spans="1:5" x14ac:dyDescent="0.25">
      <c r="A58" s="3" t="s">
        <v>28</v>
      </c>
      <c r="B58" s="3" t="s">
        <v>68</v>
      </c>
      <c r="C58" s="3" t="s">
        <v>60</v>
      </c>
      <c r="D58" s="3">
        <v>3008</v>
      </c>
      <c r="E58" s="3">
        <v>2000</v>
      </c>
    </row>
    <row r="59" spans="1:5" x14ac:dyDescent="0.25">
      <c r="A59" s="2" t="s">
        <v>3</v>
      </c>
      <c r="B59" s="2" t="s">
        <v>5</v>
      </c>
      <c r="C59" s="2" t="s">
        <v>51</v>
      </c>
      <c r="D59" s="2">
        <v>4117</v>
      </c>
      <c r="E59" s="2">
        <v>4284</v>
      </c>
    </row>
    <row r="60" spans="1:5" x14ac:dyDescent="0.25">
      <c r="A60" s="3" t="s">
        <v>3</v>
      </c>
      <c r="B60" s="3" t="s">
        <v>5</v>
      </c>
      <c r="C60" s="3" t="s">
        <v>52</v>
      </c>
      <c r="D60" s="3">
        <v>4178</v>
      </c>
      <c r="E60" s="3">
        <v>3808</v>
      </c>
    </row>
    <row r="61" spans="1:5" x14ac:dyDescent="0.25">
      <c r="A61" s="2" t="s">
        <v>3</v>
      </c>
      <c r="B61" s="2" t="s">
        <v>5</v>
      </c>
      <c r="C61" s="2" t="s">
        <v>53</v>
      </c>
      <c r="D61" s="2">
        <v>1336.5</v>
      </c>
      <c r="E61" s="2">
        <v>1428</v>
      </c>
    </row>
    <row r="62" spans="1:5" x14ac:dyDescent="0.25">
      <c r="A62" s="3" t="s">
        <v>3</v>
      </c>
      <c r="B62" s="3" t="s">
        <v>64</v>
      </c>
      <c r="C62" s="3" t="s">
        <v>54</v>
      </c>
      <c r="D62" s="3">
        <v>3131.5</v>
      </c>
      <c r="E62" s="3">
        <v>4290</v>
      </c>
    </row>
    <row r="63" spans="1:5" x14ac:dyDescent="0.25">
      <c r="A63" s="2" t="s">
        <v>3</v>
      </c>
      <c r="B63" s="2" t="s">
        <v>64</v>
      </c>
      <c r="C63" s="2" t="s">
        <v>55</v>
      </c>
      <c r="D63" s="2">
        <v>2671</v>
      </c>
      <c r="E63" s="2">
        <v>2860</v>
      </c>
    </row>
    <row r="64" spans="1:5" x14ac:dyDescent="0.25">
      <c r="A64" s="3" t="s">
        <v>3</v>
      </c>
      <c r="B64" s="3" t="s">
        <v>17</v>
      </c>
      <c r="C64" s="3" t="s">
        <v>56</v>
      </c>
      <c r="D64" s="3">
        <v>1554.5</v>
      </c>
      <c r="E64" s="3">
        <v>1710</v>
      </c>
    </row>
    <row r="65" spans="1:5" x14ac:dyDescent="0.25">
      <c r="A65" s="2" t="s">
        <v>3</v>
      </c>
      <c r="B65" s="2" t="s">
        <v>65</v>
      </c>
      <c r="C65" s="2" t="s">
        <v>57</v>
      </c>
      <c r="D65" s="2">
        <v>1564</v>
      </c>
      <c r="E65" s="2">
        <v>1710</v>
      </c>
    </row>
    <row r="66" spans="1:5" x14ac:dyDescent="0.25">
      <c r="A66" s="3" t="s">
        <v>3</v>
      </c>
      <c r="B66" s="3" t="s">
        <v>66</v>
      </c>
      <c r="C66" s="3" t="s">
        <v>58</v>
      </c>
      <c r="D66" s="3">
        <v>955</v>
      </c>
      <c r="E66" s="3">
        <v>1160</v>
      </c>
    </row>
    <row r="67" spans="1:5" x14ac:dyDescent="0.25">
      <c r="A67" s="2" t="s">
        <v>3</v>
      </c>
      <c r="B67" s="2" t="s">
        <v>67</v>
      </c>
      <c r="C67" s="2" t="s">
        <v>59</v>
      </c>
      <c r="D67" s="2">
        <v>1635.5</v>
      </c>
      <c r="E67" s="2">
        <v>1505</v>
      </c>
    </row>
    <row r="68" spans="1:5" x14ac:dyDescent="0.25">
      <c r="A68" s="3" t="s">
        <v>3</v>
      </c>
      <c r="B68" s="3" t="s">
        <v>68</v>
      </c>
      <c r="C68" s="3" t="s">
        <v>60</v>
      </c>
      <c r="D68" s="3">
        <v>1375.5</v>
      </c>
      <c r="E68" s="3">
        <v>2100</v>
      </c>
    </row>
    <row r="69" spans="1:5" x14ac:dyDescent="0.25">
      <c r="A69" s="2" t="s">
        <v>6</v>
      </c>
      <c r="B69" s="2" t="s">
        <v>5</v>
      </c>
      <c r="C69" s="2" t="s">
        <v>51</v>
      </c>
      <c r="D69" s="2"/>
      <c r="E69" s="2"/>
    </row>
    <row r="70" spans="1:5" x14ac:dyDescent="0.25">
      <c r="A70" s="3" t="s">
        <v>6</v>
      </c>
      <c r="B70" s="3" t="s">
        <v>5</v>
      </c>
      <c r="C70" s="3" t="s">
        <v>52</v>
      </c>
      <c r="D70" s="3"/>
      <c r="E70" s="3"/>
    </row>
    <row r="71" spans="1:5" x14ac:dyDescent="0.25">
      <c r="A71" s="2" t="s">
        <v>6</v>
      </c>
      <c r="B71" s="2" t="s">
        <v>5</v>
      </c>
      <c r="C71" s="2" t="s">
        <v>53</v>
      </c>
      <c r="D71" s="2"/>
      <c r="E71" s="2"/>
    </row>
    <row r="72" spans="1:5" x14ac:dyDescent="0.25">
      <c r="A72" s="3" t="s">
        <v>6</v>
      </c>
      <c r="B72" s="3" t="s">
        <v>64</v>
      </c>
      <c r="C72" s="3" t="s">
        <v>54</v>
      </c>
      <c r="D72" s="3"/>
      <c r="E72" s="3"/>
    </row>
    <row r="73" spans="1:5" x14ac:dyDescent="0.25">
      <c r="A73" s="2" t="s">
        <v>6</v>
      </c>
      <c r="B73" s="2" t="s">
        <v>64</v>
      </c>
      <c r="C73" s="2" t="s">
        <v>55</v>
      </c>
      <c r="D73" s="2"/>
      <c r="E73" s="2"/>
    </row>
    <row r="74" spans="1:5" x14ac:dyDescent="0.25">
      <c r="A74" s="3" t="s">
        <v>6</v>
      </c>
      <c r="B74" s="3" t="s">
        <v>17</v>
      </c>
      <c r="C74" s="3" t="s">
        <v>56</v>
      </c>
      <c r="D74" s="3"/>
      <c r="E74" s="3"/>
    </row>
    <row r="75" spans="1:5" x14ac:dyDescent="0.25">
      <c r="A75" s="2" t="s">
        <v>6</v>
      </c>
      <c r="B75" s="2" t="s">
        <v>65</v>
      </c>
      <c r="C75" s="2" t="s">
        <v>57</v>
      </c>
      <c r="D75" s="2"/>
      <c r="E75" s="2"/>
    </row>
    <row r="76" spans="1:5" x14ac:dyDescent="0.25">
      <c r="A76" s="3" t="s">
        <v>6</v>
      </c>
      <c r="B76" s="3" t="s">
        <v>66</v>
      </c>
      <c r="C76" s="3" t="s">
        <v>58</v>
      </c>
      <c r="D76" s="3"/>
      <c r="E76" s="3"/>
    </row>
    <row r="77" spans="1:5" x14ac:dyDescent="0.25">
      <c r="A77" s="2" t="s">
        <v>6</v>
      </c>
      <c r="B77" s="2" t="s">
        <v>67</v>
      </c>
      <c r="C77" s="2" t="s">
        <v>59</v>
      </c>
      <c r="D77" s="2"/>
      <c r="E77" s="2"/>
    </row>
    <row r="78" spans="1:5" x14ac:dyDescent="0.25">
      <c r="A78" s="3" t="s">
        <v>6</v>
      </c>
      <c r="B78" s="3" t="s">
        <v>68</v>
      </c>
      <c r="C78" s="3" t="s">
        <v>60</v>
      </c>
      <c r="D78" s="3"/>
      <c r="E78" s="3"/>
    </row>
    <row r="79" spans="1:5" x14ac:dyDescent="0.25">
      <c r="A79" s="2" t="s">
        <v>7</v>
      </c>
      <c r="B79" s="2" t="s">
        <v>5</v>
      </c>
      <c r="C79" s="2" t="s">
        <v>51</v>
      </c>
      <c r="D79" s="2"/>
      <c r="E79" s="2"/>
    </row>
    <row r="80" spans="1:5" x14ac:dyDescent="0.25">
      <c r="A80" s="3" t="s">
        <v>7</v>
      </c>
      <c r="B80" s="3" t="s">
        <v>5</v>
      </c>
      <c r="C80" s="3" t="s">
        <v>52</v>
      </c>
      <c r="D80" s="3"/>
      <c r="E80" s="3"/>
    </row>
    <row r="81" spans="1:5" x14ac:dyDescent="0.25">
      <c r="A81" s="2" t="s">
        <v>7</v>
      </c>
      <c r="B81" s="2" t="s">
        <v>5</v>
      </c>
      <c r="C81" s="2" t="s">
        <v>53</v>
      </c>
      <c r="D81" s="2"/>
      <c r="E81" s="2"/>
    </row>
    <row r="82" spans="1:5" x14ac:dyDescent="0.25">
      <c r="A82" s="3" t="s">
        <v>7</v>
      </c>
      <c r="B82" s="3" t="s">
        <v>64</v>
      </c>
      <c r="C82" s="3" t="s">
        <v>54</v>
      </c>
      <c r="D82" s="3"/>
      <c r="E82" s="3"/>
    </row>
    <row r="83" spans="1:5" x14ac:dyDescent="0.25">
      <c r="A83" s="2" t="s">
        <v>7</v>
      </c>
      <c r="B83" s="2" t="s">
        <v>64</v>
      </c>
      <c r="C83" s="2" t="s">
        <v>55</v>
      </c>
      <c r="D83" s="2"/>
      <c r="E83" s="2"/>
    </row>
    <row r="84" spans="1:5" x14ac:dyDescent="0.25">
      <c r="A84" s="3" t="s">
        <v>7</v>
      </c>
      <c r="B84" s="3" t="s">
        <v>17</v>
      </c>
      <c r="C84" s="3" t="s">
        <v>56</v>
      </c>
      <c r="D84" s="3"/>
      <c r="E84" s="3"/>
    </row>
    <row r="85" spans="1:5" x14ac:dyDescent="0.25">
      <c r="A85" s="2" t="s">
        <v>7</v>
      </c>
      <c r="B85" s="2" t="s">
        <v>65</v>
      </c>
      <c r="C85" s="2" t="s">
        <v>57</v>
      </c>
      <c r="D85" s="2"/>
      <c r="E85" s="2"/>
    </row>
    <row r="86" spans="1:5" x14ac:dyDescent="0.25">
      <c r="A86" s="3" t="s">
        <v>7</v>
      </c>
      <c r="B86" s="3" t="s">
        <v>66</v>
      </c>
      <c r="C86" s="3" t="s">
        <v>58</v>
      </c>
      <c r="D86" s="3"/>
      <c r="E86" s="3"/>
    </row>
    <row r="87" spans="1:5" x14ac:dyDescent="0.25">
      <c r="A87" s="2" t="s">
        <v>7</v>
      </c>
      <c r="B87" s="2" t="s">
        <v>67</v>
      </c>
      <c r="C87" s="2" t="s">
        <v>59</v>
      </c>
      <c r="D87" s="2"/>
      <c r="E87" s="2"/>
    </row>
    <row r="88" spans="1:5" x14ac:dyDescent="0.25">
      <c r="A88" s="3" t="s">
        <v>7</v>
      </c>
      <c r="B88" s="3" t="s">
        <v>68</v>
      </c>
      <c r="C88" s="3" t="s">
        <v>60</v>
      </c>
      <c r="D88" s="3"/>
      <c r="E88" s="3"/>
    </row>
    <row r="89" spans="1:5" x14ac:dyDescent="0.25">
      <c r="A89" s="2" t="s">
        <v>8</v>
      </c>
      <c r="B89" s="2" t="s">
        <v>5</v>
      </c>
      <c r="C89" s="2" t="s">
        <v>51</v>
      </c>
      <c r="D89" s="2"/>
      <c r="E89" s="2"/>
    </row>
    <row r="90" spans="1:5" x14ac:dyDescent="0.25">
      <c r="A90" s="3" t="s">
        <v>8</v>
      </c>
      <c r="B90" s="3" t="s">
        <v>5</v>
      </c>
      <c r="C90" s="3" t="s">
        <v>52</v>
      </c>
      <c r="D90" s="3"/>
      <c r="E90" s="3"/>
    </row>
    <row r="91" spans="1:5" x14ac:dyDescent="0.25">
      <c r="A91" s="2" t="s">
        <v>8</v>
      </c>
      <c r="B91" s="2" t="s">
        <v>5</v>
      </c>
      <c r="C91" s="2" t="s">
        <v>53</v>
      </c>
      <c r="D91" s="2"/>
      <c r="E91" s="2"/>
    </row>
    <row r="92" spans="1:5" x14ac:dyDescent="0.25">
      <c r="A92" s="3" t="s">
        <v>8</v>
      </c>
      <c r="B92" s="3" t="s">
        <v>64</v>
      </c>
      <c r="C92" s="3" t="s">
        <v>54</v>
      </c>
      <c r="D92" s="3"/>
      <c r="E92" s="3"/>
    </row>
    <row r="93" spans="1:5" x14ac:dyDescent="0.25">
      <c r="A93" s="2" t="s">
        <v>8</v>
      </c>
      <c r="B93" s="2" t="s">
        <v>64</v>
      </c>
      <c r="C93" s="2" t="s">
        <v>55</v>
      </c>
      <c r="D93" s="2"/>
      <c r="E93" s="2"/>
    </row>
    <row r="94" spans="1:5" x14ac:dyDescent="0.25">
      <c r="A94" s="3" t="s">
        <v>8</v>
      </c>
      <c r="B94" s="3" t="s">
        <v>17</v>
      </c>
      <c r="C94" s="3" t="s">
        <v>56</v>
      </c>
      <c r="D94" s="3"/>
      <c r="E94" s="3"/>
    </row>
    <row r="95" spans="1:5" x14ac:dyDescent="0.25">
      <c r="A95" s="2" t="s">
        <v>8</v>
      </c>
      <c r="B95" s="2" t="s">
        <v>65</v>
      </c>
      <c r="C95" s="2" t="s">
        <v>57</v>
      </c>
      <c r="D95" s="2"/>
      <c r="E95" s="2"/>
    </row>
    <row r="96" spans="1:5" x14ac:dyDescent="0.25">
      <c r="A96" s="3" t="s">
        <v>8</v>
      </c>
      <c r="B96" s="3" t="s">
        <v>66</v>
      </c>
      <c r="C96" s="3" t="s">
        <v>58</v>
      </c>
      <c r="D96" s="3"/>
      <c r="E96" s="3"/>
    </row>
    <row r="97" spans="1:5" x14ac:dyDescent="0.25">
      <c r="A97" s="2" t="s">
        <v>8</v>
      </c>
      <c r="B97" s="2" t="s">
        <v>67</v>
      </c>
      <c r="C97" s="2" t="s">
        <v>59</v>
      </c>
      <c r="D97" s="2"/>
      <c r="E97" s="2"/>
    </row>
    <row r="98" spans="1:5" x14ac:dyDescent="0.25">
      <c r="A98" s="3" t="s">
        <v>8</v>
      </c>
      <c r="B98" s="3" t="s">
        <v>68</v>
      </c>
      <c r="C98" s="3" t="s">
        <v>60</v>
      </c>
      <c r="D98" s="3"/>
      <c r="E98" s="3"/>
    </row>
    <row r="99" spans="1:5" x14ac:dyDescent="0.25">
      <c r="A99" s="2" t="s">
        <v>9</v>
      </c>
      <c r="B99" s="2" t="s">
        <v>5</v>
      </c>
      <c r="C99" s="2" t="s">
        <v>51</v>
      </c>
      <c r="D99" s="2"/>
      <c r="E99" s="2"/>
    </row>
    <row r="100" spans="1:5" x14ac:dyDescent="0.25">
      <c r="A100" s="3" t="s">
        <v>9</v>
      </c>
      <c r="B100" s="3" t="s">
        <v>5</v>
      </c>
      <c r="C100" s="3" t="s">
        <v>52</v>
      </c>
      <c r="D100" s="3"/>
      <c r="E100" s="3"/>
    </row>
    <row r="101" spans="1:5" x14ac:dyDescent="0.25">
      <c r="A101" s="2" t="s">
        <v>9</v>
      </c>
      <c r="B101" s="2" t="s">
        <v>5</v>
      </c>
      <c r="C101" s="2" t="s">
        <v>53</v>
      </c>
      <c r="D101" s="2"/>
      <c r="E101" s="2"/>
    </row>
    <row r="102" spans="1:5" x14ac:dyDescent="0.25">
      <c r="A102" s="3" t="s">
        <v>9</v>
      </c>
      <c r="B102" s="3" t="s">
        <v>64</v>
      </c>
      <c r="C102" s="3" t="s">
        <v>54</v>
      </c>
      <c r="D102" s="3"/>
      <c r="E102" s="3"/>
    </row>
    <row r="103" spans="1:5" x14ac:dyDescent="0.25">
      <c r="A103" s="2" t="s">
        <v>9</v>
      </c>
      <c r="B103" s="2" t="s">
        <v>64</v>
      </c>
      <c r="C103" s="2" t="s">
        <v>55</v>
      </c>
      <c r="D103" s="2"/>
      <c r="E103" s="2"/>
    </row>
    <row r="104" spans="1:5" x14ac:dyDescent="0.25">
      <c r="A104" s="3" t="s">
        <v>9</v>
      </c>
      <c r="B104" s="3" t="s">
        <v>17</v>
      </c>
      <c r="C104" s="3" t="s">
        <v>56</v>
      </c>
      <c r="D104" s="3"/>
      <c r="E104" s="3"/>
    </row>
    <row r="105" spans="1:5" x14ac:dyDescent="0.25">
      <c r="A105" s="2" t="s">
        <v>9</v>
      </c>
      <c r="B105" s="2" t="s">
        <v>65</v>
      </c>
      <c r="C105" s="2" t="s">
        <v>57</v>
      </c>
      <c r="D105" s="2"/>
      <c r="E105" s="2"/>
    </row>
    <row r="106" spans="1:5" x14ac:dyDescent="0.25">
      <c r="A106" s="3" t="s">
        <v>9</v>
      </c>
      <c r="B106" s="3" t="s">
        <v>66</v>
      </c>
      <c r="C106" s="3" t="s">
        <v>58</v>
      </c>
      <c r="D106" s="3"/>
      <c r="E106" s="3"/>
    </row>
    <row r="107" spans="1:5" x14ac:dyDescent="0.25">
      <c r="A107" s="2" t="s">
        <v>9</v>
      </c>
      <c r="B107" s="2" t="s">
        <v>67</v>
      </c>
      <c r="C107" s="2" t="s">
        <v>59</v>
      </c>
      <c r="D107" s="2"/>
      <c r="E107" s="2"/>
    </row>
    <row r="108" spans="1:5" x14ac:dyDescent="0.25">
      <c r="A108" s="3" t="s">
        <v>9</v>
      </c>
      <c r="B108" s="3" t="s">
        <v>68</v>
      </c>
      <c r="C108" s="3" t="s">
        <v>60</v>
      </c>
      <c r="D108" s="3"/>
      <c r="E108" s="3"/>
    </row>
    <row r="109" spans="1:5" x14ac:dyDescent="0.25">
      <c r="A109" s="2" t="s">
        <v>10</v>
      </c>
      <c r="B109" s="2" t="s">
        <v>5</v>
      </c>
      <c r="C109" s="2" t="s">
        <v>51</v>
      </c>
      <c r="D109" s="2"/>
      <c r="E109" s="2"/>
    </row>
    <row r="110" spans="1:5" x14ac:dyDescent="0.25">
      <c r="A110" s="3" t="s">
        <v>10</v>
      </c>
      <c r="B110" s="3" t="s">
        <v>5</v>
      </c>
      <c r="C110" s="3" t="s">
        <v>52</v>
      </c>
      <c r="D110" s="3"/>
      <c r="E110" s="3"/>
    </row>
    <row r="111" spans="1:5" x14ac:dyDescent="0.25">
      <c r="A111" s="2" t="s">
        <v>10</v>
      </c>
      <c r="B111" s="2" t="s">
        <v>5</v>
      </c>
      <c r="C111" s="2" t="s">
        <v>53</v>
      </c>
      <c r="D111" s="2"/>
      <c r="E111" s="2"/>
    </row>
    <row r="112" spans="1:5" x14ac:dyDescent="0.25">
      <c r="A112" s="3" t="s">
        <v>10</v>
      </c>
      <c r="B112" s="3" t="s">
        <v>64</v>
      </c>
      <c r="C112" s="3" t="s">
        <v>54</v>
      </c>
      <c r="D112" s="3"/>
      <c r="E112" s="3"/>
    </row>
    <row r="113" spans="1:5" x14ac:dyDescent="0.25">
      <c r="A113" s="2" t="s">
        <v>10</v>
      </c>
      <c r="B113" s="2" t="s">
        <v>64</v>
      </c>
      <c r="C113" s="2" t="s">
        <v>55</v>
      </c>
      <c r="D113" s="2"/>
      <c r="E113" s="2"/>
    </row>
    <row r="114" spans="1:5" x14ac:dyDescent="0.25">
      <c r="A114" s="3" t="s">
        <v>10</v>
      </c>
      <c r="B114" s="3" t="s">
        <v>17</v>
      </c>
      <c r="C114" s="3" t="s">
        <v>56</v>
      </c>
      <c r="D114" s="3"/>
      <c r="E114" s="3"/>
    </row>
    <row r="115" spans="1:5" x14ac:dyDescent="0.25">
      <c r="A115" s="2" t="s">
        <v>10</v>
      </c>
      <c r="B115" s="2" t="s">
        <v>65</v>
      </c>
      <c r="C115" s="2" t="s">
        <v>57</v>
      </c>
      <c r="D115" s="2"/>
      <c r="E115" s="2"/>
    </row>
    <row r="116" spans="1:5" x14ac:dyDescent="0.25">
      <c r="A116" s="3" t="s">
        <v>10</v>
      </c>
      <c r="B116" s="3" t="s">
        <v>66</v>
      </c>
      <c r="C116" s="3" t="s">
        <v>58</v>
      </c>
      <c r="D116" s="3"/>
      <c r="E116" s="3"/>
    </row>
    <row r="117" spans="1:5" x14ac:dyDescent="0.25">
      <c r="A117" s="2" t="s">
        <v>10</v>
      </c>
      <c r="B117" s="2" t="s">
        <v>67</v>
      </c>
      <c r="C117" s="2" t="s">
        <v>59</v>
      </c>
      <c r="D117" s="2"/>
      <c r="E117" s="2"/>
    </row>
    <row r="118" spans="1:5" x14ac:dyDescent="0.25">
      <c r="A118" s="3" t="s">
        <v>10</v>
      </c>
      <c r="B118" s="3" t="s">
        <v>68</v>
      </c>
      <c r="C118" s="3" t="s">
        <v>60</v>
      </c>
      <c r="D118" s="3"/>
      <c r="E118" s="3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F6312-31BB-4C78-AE0F-6FAA1024EA18}">
  <dimension ref="A1:J50"/>
  <sheetViews>
    <sheetView zoomScale="85" zoomScaleNormal="85" workbookViewId="0">
      <selection activeCell="G22" sqref="G22"/>
    </sheetView>
  </sheetViews>
  <sheetFormatPr defaultRowHeight="15" x14ac:dyDescent="0.25"/>
  <cols>
    <col min="1" max="1" width="14.7109375" style="15" customWidth="1"/>
    <col min="2" max="2" width="13.5703125" style="15" customWidth="1"/>
    <col min="3" max="3" width="24.140625" style="15" customWidth="1"/>
    <col min="4" max="5" width="14.28515625" style="15" customWidth="1"/>
    <col min="6" max="7" width="13.140625" style="15" customWidth="1"/>
    <col min="8" max="8" width="8.85546875" style="15" customWidth="1"/>
    <col min="9" max="9" width="15.7109375" style="15" bestFit="1" customWidth="1"/>
    <col min="10" max="10" width="10.7109375" style="15" bestFit="1" customWidth="1"/>
    <col min="11" max="16384" width="9.140625" style="15"/>
  </cols>
  <sheetData>
    <row r="1" spans="1:10" customFormat="1" x14ac:dyDescent="0.25">
      <c r="A1" s="8" t="s">
        <v>40</v>
      </c>
      <c r="B1" s="8" t="s">
        <v>70</v>
      </c>
      <c r="C1" s="8" t="s">
        <v>71</v>
      </c>
      <c r="D1" s="8" t="s">
        <v>72</v>
      </c>
      <c r="E1" s="8" t="s">
        <v>73</v>
      </c>
      <c r="F1" s="8" t="s">
        <v>74</v>
      </c>
      <c r="G1" s="8" t="s">
        <v>75</v>
      </c>
    </row>
    <row r="2" spans="1:10" customFormat="1" x14ac:dyDescent="0.25">
      <c r="A2" s="3" t="s">
        <v>45</v>
      </c>
      <c r="B2" s="3" t="s">
        <v>5</v>
      </c>
      <c r="C2" s="3" t="s">
        <v>76</v>
      </c>
      <c r="D2" s="12">
        <v>595</v>
      </c>
      <c r="E2" s="12">
        <v>640</v>
      </c>
      <c r="F2" s="12">
        <v>635</v>
      </c>
      <c r="G2" s="12">
        <v>680</v>
      </c>
    </row>
    <row r="3" spans="1:10" customFormat="1" x14ac:dyDescent="0.25">
      <c r="A3" s="2" t="s">
        <v>45</v>
      </c>
      <c r="B3" s="2" t="s">
        <v>5</v>
      </c>
      <c r="C3" s="2" t="s">
        <v>77</v>
      </c>
      <c r="D3" s="14">
        <v>595</v>
      </c>
      <c r="E3" s="14">
        <v>645</v>
      </c>
      <c r="F3" s="14">
        <v>615</v>
      </c>
      <c r="G3" s="14">
        <v>665</v>
      </c>
      <c r="H3" s="11"/>
    </row>
    <row r="4" spans="1:10" customFormat="1" x14ac:dyDescent="0.25">
      <c r="A4" s="3" t="s">
        <v>45</v>
      </c>
      <c r="B4" s="3" t="s">
        <v>5</v>
      </c>
      <c r="C4" s="3" t="s">
        <v>78</v>
      </c>
      <c r="D4" s="12">
        <v>627</v>
      </c>
      <c r="E4" s="12">
        <v>647</v>
      </c>
      <c r="F4" s="12">
        <v>638</v>
      </c>
      <c r="G4" s="12">
        <v>688</v>
      </c>
      <c r="H4" s="11"/>
    </row>
    <row r="5" spans="1:10" customFormat="1" x14ac:dyDescent="0.25">
      <c r="A5" s="2" t="s">
        <v>45</v>
      </c>
      <c r="B5" s="2" t="s">
        <v>5</v>
      </c>
      <c r="C5" s="2" t="s">
        <v>79</v>
      </c>
      <c r="D5" s="14">
        <v>560</v>
      </c>
      <c r="E5" s="14">
        <v>600</v>
      </c>
      <c r="F5" s="14">
        <v>580</v>
      </c>
      <c r="G5" s="14">
        <v>620</v>
      </c>
      <c r="H5" s="11"/>
    </row>
    <row r="6" spans="1:10" customFormat="1" x14ac:dyDescent="0.25">
      <c r="A6" s="3" t="s">
        <v>45</v>
      </c>
      <c r="B6" s="3" t="s">
        <v>5</v>
      </c>
      <c r="C6" s="3" t="s">
        <v>80</v>
      </c>
      <c r="D6" s="12">
        <v>600</v>
      </c>
      <c r="E6" s="12">
        <v>630</v>
      </c>
      <c r="F6" s="12">
        <v>630</v>
      </c>
      <c r="G6" s="12">
        <v>660</v>
      </c>
      <c r="H6" s="11"/>
    </row>
    <row r="7" spans="1:10" customFormat="1" x14ac:dyDescent="0.25">
      <c r="A7" s="2" t="s">
        <v>45</v>
      </c>
      <c r="B7" s="2" t="s">
        <v>5</v>
      </c>
      <c r="C7" s="2" t="s">
        <v>81</v>
      </c>
      <c r="D7" s="14">
        <v>600</v>
      </c>
      <c r="E7" s="14">
        <v>635</v>
      </c>
      <c r="F7" s="14">
        <v>620</v>
      </c>
      <c r="G7" s="14">
        <v>655</v>
      </c>
      <c r="H7" s="11"/>
    </row>
    <row r="8" spans="1:10" customFormat="1" x14ac:dyDescent="0.25">
      <c r="A8" s="3" t="s">
        <v>27</v>
      </c>
      <c r="B8" s="3" t="s">
        <v>5</v>
      </c>
      <c r="C8" s="3" t="s">
        <v>76</v>
      </c>
      <c r="D8" s="12">
        <v>595</v>
      </c>
      <c r="E8" s="12">
        <v>640</v>
      </c>
      <c r="F8" s="12">
        <v>635</v>
      </c>
      <c r="G8" s="12">
        <v>680</v>
      </c>
      <c r="H8" s="11"/>
    </row>
    <row r="9" spans="1:10" customFormat="1" x14ac:dyDescent="0.25">
      <c r="A9" s="2" t="s">
        <v>27</v>
      </c>
      <c r="B9" s="2" t="s">
        <v>5</v>
      </c>
      <c r="C9" s="2" t="s">
        <v>77</v>
      </c>
      <c r="D9" s="14">
        <v>595</v>
      </c>
      <c r="E9" s="14">
        <v>645</v>
      </c>
      <c r="F9" s="14">
        <v>615</v>
      </c>
      <c r="G9" s="14">
        <v>665</v>
      </c>
      <c r="H9" s="11"/>
    </row>
    <row r="10" spans="1:10" customFormat="1" x14ac:dyDescent="0.25">
      <c r="A10" s="3" t="s">
        <v>27</v>
      </c>
      <c r="B10" s="3" t="s">
        <v>5</v>
      </c>
      <c r="C10" s="3" t="s">
        <v>78</v>
      </c>
      <c r="D10" s="12">
        <v>627</v>
      </c>
      <c r="E10" s="12">
        <v>647</v>
      </c>
      <c r="F10" s="12">
        <v>638</v>
      </c>
      <c r="G10" s="12">
        <v>688</v>
      </c>
      <c r="H10" s="11"/>
    </row>
    <row r="11" spans="1:10" customFormat="1" x14ac:dyDescent="0.25">
      <c r="A11" s="2" t="s">
        <v>27</v>
      </c>
      <c r="B11" s="2" t="s">
        <v>5</v>
      </c>
      <c r="C11" s="2" t="s">
        <v>79</v>
      </c>
      <c r="D11" s="14">
        <v>600</v>
      </c>
      <c r="E11" s="14">
        <v>640</v>
      </c>
      <c r="F11" s="14">
        <v>620</v>
      </c>
      <c r="G11" s="14">
        <v>660</v>
      </c>
      <c r="H11" s="11"/>
    </row>
    <row r="12" spans="1:10" customFormat="1" x14ac:dyDescent="0.25">
      <c r="A12" s="3" t="s">
        <v>27</v>
      </c>
      <c r="B12" s="3" t="s">
        <v>5</v>
      </c>
      <c r="C12" s="3" t="s">
        <v>80</v>
      </c>
      <c r="D12" s="12">
        <v>600</v>
      </c>
      <c r="E12" s="12">
        <v>630</v>
      </c>
      <c r="F12" s="12">
        <v>630</v>
      </c>
      <c r="G12" s="12">
        <v>660</v>
      </c>
      <c r="H12" s="11"/>
    </row>
    <row r="13" spans="1:10" customFormat="1" x14ac:dyDescent="0.25">
      <c r="A13" s="2" t="s">
        <v>27</v>
      </c>
      <c r="B13" s="2" t="s">
        <v>5</v>
      </c>
      <c r="C13" s="2" t="s">
        <v>81</v>
      </c>
      <c r="D13" s="14">
        <v>600</v>
      </c>
      <c r="E13" s="14">
        <v>635</v>
      </c>
      <c r="F13" s="14">
        <v>620</v>
      </c>
      <c r="G13" s="14">
        <v>655</v>
      </c>
      <c r="H13" s="11"/>
    </row>
    <row r="14" spans="1:10" customFormat="1" x14ac:dyDescent="0.25">
      <c r="A14" s="3" t="s">
        <v>3</v>
      </c>
      <c r="B14" s="3" t="s">
        <v>5</v>
      </c>
      <c r="C14" s="3" t="s">
        <v>76</v>
      </c>
      <c r="D14" s="12">
        <v>607</v>
      </c>
      <c r="E14" s="12">
        <v>657</v>
      </c>
      <c r="F14" s="12">
        <v>645</v>
      </c>
      <c r="G14" s="12">
        <v>695</v>
      </c>
      <c r="H14" s="11"/>
      <c r="J14" s="10"/>
    </row>
    <row r="15" spans="1:10" customFormat="1" x14ac:dyDescent="0.25">
      <c r="A15" s="2" t="s">
        <v>3</v>
      </c>
      <c r="B15" s="2" t="s">
        <v>5</v>
      </c>
      <c r="C15" s="2" t="s">
        <v>77</v>
      </c>
      <c r="D15" s="14">
        <v>0</v>
      </c>
      <c r="E15" s="14">
        <v>620</v>
      </c>
      <c r="F15" s="14">
        <v>0</v>
      </c>
      <c r="G15" s="14">
        <v>640</v>
      </c>
      <c r="J15" s="10"/>
    </row>
    <row r="16" spans="1:10" customFormat="1" x14ac:dyDescent="0.25">
      <c r="A16" s="3" t="s">
        <v>3</v>
      </c>
      <c r="B16" s="3" t="s">
        <v>5</v>
      </c>
      <c r="C16" s="3" t="s">
        <v>78</v>
      </c>
      <c r="D16" s="12">
        <v>0</v>
      </c>
      <c r="E16" s="12">
        <v>667</v>
      </c>
      <c r="F16" s="12">
        <v>0</v>
      </c>
      <c r="G16" s="12">
        <v>708</v>
      </c>
      <c r="J16" s="10"/>
    </row>
    <row r="17" spans="1:10" customFormat="1" x14ac:dyDescent="0.25">
      <c r="A17" s="2" t="s">
        <v>3</v>
      </c>
      <c r="B17" s="2" t="s">
        <v>5</v>
      </c>
      <c r="C17" s="2" t="s">
        <v>79</v>
      </c>
      <c r="D17" s="14">
        <v>570</v>
      </c>
      <c r="E17" s="14">
        <v>620</v>
      </c>
      <c r="F17" s="14">
        <v>600</v>
      </c>
      <c r="G17" s="14">
        <v>640</v>
      </c>
      <c r="J17" s="10"/>
    </row>
    <row r="18" spans="1:10" customFormat="1" x14ac:dyDescent="0.25">
      <c r="A18" s="3" t="s">
        <v>6</v>
      </c>
      <c r="B18" s="3" t="s">
        <v>5</v>
      </c>
      <c r="C18" s="3" t="s">
        <v>76</v>
      </c>
      <c r="D18" s="12">
        <v>607</v>
      </c>
      <c r="E18" s="12">
        <v>657</v>
      </c>
      <c r="F18" s="12">
        <v>645</v>
      </c>
      <c r="G18" s="12">
        <v>695</v>
      </c>
      <c r="J18" s="4"/>
    </row>
    <row r="19" spans="1:10" customFormat="1" x14ac:dyDescent="0.25">
      <c r="A19" s="2" t="s">
        <v>6</v>
      </c>
      <c r="B19" s="2" t="s">
        <v>5</v>
      </c>
      <c r="C19" s="2" t="s">
        <v>77</v>
      </c>
      <c r="D19" s="14">
        <v>0</v>
      </c>
      <c r="E19" s="14">
        <v>620</v>
      </c>
      <c r="F19" s="14">
        <v>0</v>
      </c>
      <c r="G19" s="14">
        <v>640</v>
      </c>
      <c r="J19" s="4"/>
    </row>
    <row r="20" spans="1:10" customFormat="1" x14ac:dyDescent="0.25">
      <c r="A20" s="3" t="s">
        <v>6</v>
      </c>
      <c r="B20" s="3" t="s">
        <v>5</v>
      </c>
      <c r="C20" s="3" t="s">
        <v>78</v>
      </c>
      <c r="D20" s="12">
        <v>0</v>
      </c>
      <c r="E20" s="12">
        <v>667</v>
      </c>
      <c r="F20" s="12">
        <v>0</v>
      </c>
      <c r="G20" s="12">
        <v>708</v>
      </c>
      <c r="J20" s="4"/>
    </row>
    <row r="21" spans="1:10" customFormat="1" x14ac:dyDescent="0.25">
      <c r="A21" s="2" t="s">
        <v>6</v>
      </c>
      <c r="B21" s="2" t="s">
        <v>5</v>
      </c>
      <c r="C21" s="2" t="s">
        <v>79</v>
      </c>
      <c r="D21" s="14">
        <v>570</v>
      </c>
      <c r="E21" s="14">
        <v>620</v>
      </c>
      <c r="F21" s="14">
        <v>600</v>
      </c>
      <c r="G21" s="14">
        <v>640</v>
      </c>
      <c r="J21" s="10"/>
    </row>
    <row r="22" spans="1:10" customFormat="1" x14ac:dyDescent="0.25">
      <c r="A22" s="3" t="s">
        <v>45</v>
      </c>
      <c r="B22" s="3" t="s">
        <v>14</v>
      </c>
      <c r="C22" s="3" t="s">
        <v>82</v>
      </c>
      <c r="D22" s="12">
        <v>610</v>
      </c>
      <c r="E22" s="12">
        <v>650</v>
      </c>
      <c r="F22" s="12">
        <v>650</v>
      </c>
      <c r="G22" s="12">
        <v>690</v>
      </c>
      <c r="J22" s="10"/>
    </row>
    <row r="23" spans="1:10" customFormat="1" x14ac:dyDescent="0.25">
      <c r="A23" s="2" t="s">
        <v>45</v>
      </c>
      <c r="B23" s="2" t="s">
        <v>14</v>
      </c>
      <c r="C23" s="2" t="s">
        <v>83</v>
      </c>
      <c r="D23" s="14">
        <v>575</v>
      </c>
      <c r="E23" s="14">
        <v>625</v>
      </c>
      <c r="F23" s="14">
        <v>600</v>
      </c>
      <c r="G23" s="14">
        <v>650</v>
      </c>
      <c r="J23" s="10"/>
    </row>
    <row r="24" spans="1:10" customFormat="1" x14ac:dyDescent="0.25">
      <c r="A24" s="3" t="s">
        <v>45</v>
      </c>
      <c r="B24" s="3" t="s">
        <v>14</v>
      </c>
      <c r="C24" s="3" t="s">
        <v>84</v>
      </c>
      <c r="D24" s="12">
        <v>610</v>
      </c>
      <c r="E24" s="12">
        <v>655</v>
      </c>
      <c r="F24" s="12">
        <v>650</v>
      </c>
      <c r="G24" s="12">
        <v>690</v>
      </c>
      <c r="J24" s="4"/>
    </row>
    <row r="25" spans="1:10" customFormat="1" x14ac:dyDescent="0.25">
      <c r="A25" s="2" t="s">
        <v>45</v>
      </c>
      <c r="B25" s="2" t="s">
        <v>14</v>
      </c>
      <c r="C25" s="2" t="s">
        <v>85</v>
      </c>
      <c r="D25" s="14">
        <v>580</v>
      </c>
      <c r="E25" s="14">
        <v>620</v>
      </c>
      <c r="F25" s="14">
        <v>610</v>
      </c>
      <c r="G25" s="14">
        <v>650</v>
      </c>
      <c r="J25" s="10"/>
    </row>
    <row r="26" spans="1:10" customFormat="1" x14ac:dyDescent="0.25">
      <c r="A26" s="3" t="s">
        <v>45</v>
      </c>
      <c r="B26" s="3" t="s">
        <v>14</v>
      </c>
      <c r="C26" s="3" t="s">
        <v>86</v>
      </c>
      <c r="D26" s="12">
        <v>650</v>
      </c>
      <c r="E26" s="12">
        <v>700</v>
      </c>
      <c r="F26" s="12">
        <v>670</v>
      </c>
      <c r="G26" s="12">
        <v>720</v>
      </c>
      <c r="J26" s="10"/>
    </row>
    <row r="27" spans="1:10" customFormat="1" x14ac:dyDescent="0.25">
      <c r="A27" s="2" t="s">
        <v>45</v>
      </c>
      <c r="B27" s="2" t="s">
        <v>14</v>
      </c>
      <c r="C27" s="2" t="s">
        <v>87</v>
      </c>
      <c r="D27" s="14">
        <v>580</v>
      </c>
      <c r="E27" s="14">
        <v>630</v>
      </c>
      <c r="F27" s="14">
        <v>620</v>
      </c>
      <c r="G27" s="14">
        <v>670</v>
      </c>
    </row>
    <row r="28" spans="1:10" customFormat="1" x14ac:dyDescent="0.25">
      <c r="A28" s="3" t="s">
        <v>27</v>
      </c>
      <c r="B28" s="3" t="s">
        <v>14</v>
      </c>
      <c r="C28" s="3" t="s">
        <v>82</v>
      </c>
      <c r="D28" s="12">
        <v>605</v>
      </c>
      <c r="E28" s="12">
        <v>645</v>
      </c>
      <c r="F28" s="12">
        <v>640</v>
      </c>
      <c r="G28" s="12">
        <v>680</v>
      </c>
    </row>
    <row r="29" spans="1:10" customFormat="1" x14ac:dyDescent="0.25">
      <c r="A29" s="2" t="s">
        <v>27</v>
      </c>
      <c r="B29" s="2" t="s">
        <v>14</v>
      </c>
      <c r="C29" s="2" t="s">
        <v>83</v>
      </c>
      <c r="D29" s="14">
        <v>595</v>
      </c>
      <c r="E29" s="14">
        <v>645</v>
      </c>
      <c r="F29" s="14">
        <v>620</v>
      </c>
      <c r="G29" s="14">
        <v>670</v>
      </c>
    </row>
    <row r="30" spans="1:10" customFormat="1" x14ac:dyDescent="0.25">
      <c r="A30" s="3" t="s">
        <v>27</v>
      </c>
      <c r="B30" s="3" t="s">
        <v>14</v>
      </c>
      <c r="C30" s="3" t="s">
        <v>84</v>
      </c>
      <c r="D30" s="12">
        <v>605</v>
      </c>
      <c r="E30" s="12">
        <v>645</v>
      </c>
      <c r="F30" s="12">
        <v>635</v>
      </c>
      <c r="G30" s="12">
        <v>675</v>
      </c>
    </row>
    <row r="31" spans="1:10" customFormat="1" x14ac:dyDescent="0.25">
      <c r="A31" s="2" t="s">
        <v>27</v>
      </c>
      <c r="B31" s="2" t="s">
        <v>14</v>
      </c>
      <c r="C31" s="2" t="s">
        <v>85</v>
      </c>
      <c r="D31" s="14">
        <v>580</v>
      </c>
      <c r="E31" s="14">
        <v>620</v>
      </c>
      <c r="F31" s="14">
        <v>610</v>
      </c>
      <c r="G31" s="14">
        <v>650</v>
      </c>
    </row>
    <row r="32" spans="1:10" customFormat="1" x14ac:dyDescent="0.25">
      <c r="A32" s="3" t="s">
        <v>91</v>
      </c>
      <c r="B32" s="3" t="s">
        <v>14</v>
      </c>
      <c r="C32" s="3" t="s">
        <v>82</v>
      </c>
      <c r="D32" s="12">
        <v>0</v>
      </c>
      <c r="E32" s="12">
        <v>635</v>
      </c>
      <c r="F32" s="12">
        <v>0</v>
      </c>
      <c r="G32" s="12">
        <v>680</v>
      </c>
    </row>
    <row r="33" spans="1:7" customFormat="1" x14ac:dyDescent="0.25">
      <c r="A33" s="2" t="s">
        <v>91</v>
      </c>
      <c r="B33" s="2" t="s">
        <v>14</v>
      </c>
      <c r="C33" s="2" t="s">
        <v>84</v>
      </c>
      <c r="D33" s="14">
        <v>0</v>
      </c>
      <c r="E33" s="14">
        <v>605</v>
      </c>
      <c r="F33" s="14">
        <v>0</v>
      </c>
      <c r="G33" s="14">
        <v>640</v>
      </c>
    </row>
    <row r="34" spans="1:7" customFormat="1" x14ac:dyDescent="0.25">
      <c r="A34" s="3" t="s">
        <v>91</v>
      </c>
      <c r="B34" s="3" t="s">
        <v>14</v>
      </c>
      <c r="C34" s="3" t="s">
        <v>85</v>
      </c>
      <c r="D34" s="12">
        <v>0</v>
      </c>
      <c r="E34" s="12">
        <v>620</v>
      </c>
      <c r="F34" s="12">
        <v>0</v>
      </c>
      <c r="G34" s="12">
        <v>650</v>
      </c>
    </row>
    <row r="35" spans="1:7" customFormat="1" x14ac:dyDescent="0.25">
      <c r="A35" s="2" t="s">
        <v>45</v>
      </c>
      <c r="B35" s="2" t="s">
        <v>17</v>
      </c>
      <c r="C35" s="2" t="s">
        <v>86</v>
      </c>
      <c r="D35" s="14">
        <v>650</v>
      </c>
      <c r="E35" s="14">
        <v>700</v>
      </c>
      <c r="F35" s="14">
        <v>670</v>
      </c>
      <c r="G35" s="14">
        <v>720</v>
      </c>
    </row>
    <row r="36" spans="1:7" customFormat="1" x14ac:dyDescent="0.25">
      <c r="A36" s="3" t="s">
        <v>45</v>
      </c>
      <c r="B36" s="3" t="s">
        <v>17</v>
      </c>
      <c r="C36" s="3" t="s">
        <v>87</v>
      </c>
      <c r="D36" s="12">
        <v>580</v>
      </c>
      <c r="E36" s="12">
        <v>630</v>
      </c>
      <c r="F36" s="12">
        <v>620</v>
      </c>
      <c r="G36" s="12">
        <v>670</v>
      </c>
    </row>
    <row r="37" spans="1:7" customFormat="1" x14ac:dyDescent="0.25">
      <c r="A37" s="2" t="s">
        <v>3</v>
      </c>
      <c r="B37" s="2" t="s">
        <v>17</v>
      </c>
      <c r="C37" s="2" t="s">
        <v>86</v>
      </c>
      <c r="D37" s="14">
        <v>0</v>
      </c>
      <c r="E37" s="14">
        <v>575</v>
      </c>
      <c r="F37" s="14">
        <v>0</v>
      </c>
      <c r="G37" s="14">
        <v>605</v>
      </c>
    </row>
    <row r="38" spans="1:7" customFormat="1" x14ac:dyDescent="0.25">
      <c r="A38" s="3" t="s">
        <v>3</v>
      </c>
      <c r="B38" s="3" t="s">
        <v>17</v>
      </c>
      <c r="C38" s="3" t="s">
        <v>87</v>
      </c>
      <c r="D38" s="12">
        <v>0</v>
      </c>
      <c r="E38" s="12">
        <v>650</v>
      </c>
      <c r="F38" s="12">
        <v>0</v>
      </c>
      <c r="G38" s="12">
        <v>680</v>
      </c>
    </row>
    <row r="39" spans="1:7" customFormat="1" x14ac:dyDescent="0.25">
      <c r="A39" s="2" t="s">
        <v>45</v>
      </c>
      <c r="B39" s="2" t="s">
        <v>65</v>
      </c>
      <c r="C39" s="2" t="s">
        <v>88</v>
      </c>
      <c r="D39" s="14">
        <v>625</v>
      </c>
      <c r="E39" s="14">
        <v>670</v>
      </c>
      <c r="F39" s="14">
        <v>665</v>
      </c>
      <c r="G39" s="14">
        <v>710</v>
      </c>
    </row>
    <row r="40" spans="1:7" customFormat="1" x14ac:dyDescent="0.25">
      <c r="A40" s="3" t="s">
        <v>45</v>
      </c>
      <c r="B40" s="3" t="s">
        <v>65</v>
      </c>
      <c r="C40" s="3" t="s">
        <v>93</v>
      </c>
      <c r="D40" s="12">
        <v>680</v>
      </c>
      <c r="E40" s="12">
        <v>730</v>
      </c>
      <c r="F40" s="12">
        <v>705</v>
      </c>
      <c r="G40" s="12">
        <v>755</v>
      </c>
    </row>
    <row r="41" spans="1:7" customFormat="1" x14ac:dyDescent="0.25">
      <c r="A41" s="2" t="s">
        <v>45</v>
      </c>
      <c r="B41" s="2" t="s">
        <v>66</v>
      </c>
      <c r="C41" s="2" t="s">
        <v>76</v>
      </c>
      <c r="D41" s="14">
        <v>610</v>
      </c>
      <c r="E41" s="14">
        <v>660</v>
      </c>
      <c r="F41" s="14">
        <v>655</v>
      </c>
      <c r="G41" s="14">
        <v>705</v>
      </c>
    </row>
    <row r="42" spans="1:7" customFormat="1" x14ac:dyDescent="0.25">
      <c r="A42" s="3" t="s">
        <v>3</v>
      </c>
      <c r="B42" s="3" t="s">
        <v>66</v>
      </c>
      <c r="C42" s="3" t="s">
        <v>76</v>
      </c>
      <c r="D42" s="12">
        <v>0</v>
      </c>
      <c r="E42" s="12">
        <v>660</v>
      </c>
      <c r="F42" s="12">
        <v>0</v>
      </c>
      <c r="G42" s="12">
        <v>705</v>
      </c>
    </row>
    <row r="43" spans="1:7" customFormat="1" x14ac:dyDescent="0.25">
      <c r="A43" s="2" t="s">
        <v>27</v>
      </c>
      <c r="B43" s="2" t="s">
        <v>96</v>
      </c>
      <c r="C43" s="2" t="s">
        <v>94</v>
      </c>
      <c r="D43" s="14">
        <v>665</v>
      </c>
      <c r="E43" s="14">
        <v>715</v>
      </c>
      <c r="F43" s="14">
        <v>690</v>
      </c>
      <c r="G43" s="14">
        <v>740</v>
      </c>
    </row>
    <row r="44" spans="1:7" customFormat="1" x14ac:dyDescent="0.25">
      <c r="A44" s="3" t="s">
        <v>27</v>
      </c>
      <c r="B44" s="3" t="s">
        <v>96</v>
      </c>
      <c r="C44" s="3" t="s">
        <v>95</v>
      </c>
      <c r="D44" s="12">
        <v>635</v>
      </c>
      <c r="E44" s="12">
        <v>700</v>
      </c>
      <c r="F44" s="12">
        <v>680</v>
      </c>
      <c r="G44" s="12">
        <v>745</v>
      </c>
    </row>
    <row r="45" spans="1:7" customFormat="1" x14ac:dyDescent="0.25">
      <c r="A45" s="2" t="s">
        <v>28</v>
      </c>
      <c r="B45" s="2" t="s">
        <v>96</v>
      </c>
      <c r="C45" s="2" t="s">
        <v>90</v>
      </c>
      <c r="D45" s="14">
        <v>615</v>
      </c>
      <c r="E45" s="14">
        <v>0</v>
      </c>
      <c r="F45" s="14">
        <v>630</v>
      </c>
      <c r="G45" s="14">
        <v>0</v>
      </c>
    </row>
    <row r="46" spans="1:7" customFormat="1" x14ac:dyDescent="0.25">
      <c r="A46" s="3" t="s">
        <v>28</v>
      </c>
      <c r="B46" s="3" t="s">
        <v>96</v>
      </c>
      <c r="C46" s="3" t="s">
        <v>95</v>
      </c>
      <c r="D46" s="12">
        <v>0</v>
      </c>
      <c r="E46" s="12">
        <v>622</v>
      </c>
      <c r="F46" s="12">
        <v>0</v>
      </c>
      <c r="G46" s="12">
        <v>662</v>
      </c>
    </row>
    <row r="47" spans="1:7" customFormat="1" x14ac:dyDescent="0.25">
      <c r="A47" s="2" t="s">
        <v>45</v>
      </c>
      <c r="B47" s="2" t="s">
        <v>100</v>
      </c>
      <c r="C47" s="2" t="s">
        <v>97</v>
      </c>
      <c r="D47" s="14">
        <v>535</v>
      </c>
      <c r="E47" s="14">
        <v>600</v>
      </c>
      <c r="F47" s="14">
        <v>545</v>
      </c>
      <c r="G47" s="14">
        <v>610</v>
      </c>
    </row>
    <row r="48" spans="1:7" customFormat="1" ht="15.75" customHeight="1" x14ac:dyDescent="0.25">
      <c r="A48" s="3" t="s">
        <v>45</v>
      </c>
      <c r="B48" s="3" t="s">
        <v>100</v>
      </c>
      <c r="C48" s="3" t="s">
        <v>98</v>
      </c>
      <c r="D48" s="12">
        <v>540</v>
      </c>
      <c r="E48" s="12" t="s">
        <v>99</v>
      </c>
      <c r="F48" s="12">
        <v>560</v>
      </c>
      <c r="G48" s="12" t="s">
        <v>99</v>
      </c>
    </row>
    <row r="49" ht="13.5" customHeight="1" x14ac:dyDescent="0.25"/>
    <row r="50" ht="15.75" customHeight="1" x14ac:dyDescent="0.25"/>
  </sheetData>
  <phoneticPr fontId="4" type="noConversion"/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3F28C-5EE6-4114-B1A7-1EAA61525545}">
  <dimension ref="A1:Q41"/>
  <sheetViews>
    <sheetView workbookViewId="0">
      <selection activeCell="A4" sqref="A4"/>
    </sheetView>
  </sheetViews>
  <sheetFormatPr defaultRowHeight="15" x14ac:dyDescent="0.25"/>
  <cols>
    <col min="1" max="1" width="28.28515625" style="7" bestFit="1" customWidth="1"/>
    <col min="2" max="8" width="22.42578125" style="7" bestFit="1" customWidth="1"/>
    <col min="9" max="9" width="15.7109375" style="7" bestFit="1" customWidth="1"/>
    <col min="10" max="10" width="23.140625" style="7" bestFit="1" customWidth="1"/>
    <col min="11" max="11" width="15" style="7" bestFit="1" customWidth="1"/>
    <col min="12" max="12" width="16.140625" style="7" bestFit="1" customWidth="1"/>
    <col min="13" max="13" width="15.7109375" style="7" bestFit="1" customWidth="1"/>
    <col min="14" max="14" width="9.5703125" style="7" bestFit="1" customWidth="1"/>
    <col min="15" max="15" width="15.7109375" style="7" bestFit="1" customWidth="1"/>
    <col min="16" max="16" width="27" style="7" bestFit="1" customWidth="1"/>
    <col min="17" max="17" width="9.140625" style="7"/>
  </cols>
  <sheetData>
    <row r="1" spans="1:17" x14ac:dyDescent="0.25">
      <c r="A1" s="29" t="s">
        <v>106</v>
      </c>
      <c r="B1" s="30"/>
      <c r="C1" s="30"/>
      <c r="D1" s="30"/>
      <c r="E1" s="30"/>
      <c r="F1" s="30"/>
      <c r="G1" s="30"/>
      <c r="H1" s="31"/>
      <c r="I1" s="23"/>
      <c r="J1" s="53" t="s">
        <v>101</v>
      </c>
      <c r="K1" s="54" t="s">
        <v>102</v>
      </c>
      <c r="L1" s="54" t="s">
        <v>103</v>
      </c>
      <c r="M1" s="55" t="s">
        <v>104</v>
      </c>
      <c r="N1" s="23"/>
      <c r="O1" s="23"/>
      <c r="P1" s="23"/>
      <c r="Q1" s="23"/>
    </row>
    <row r="2" spans="1:17" x14ac:dyDescent="0.25">
      <c r="A2" s="32" t="s">
        <v>30</v>
      </c>
      <c r="B2" s="23" t="s">
        <v>76</v>
      </c>
      <c r="C2" s="23" t="s">
        <v>80</v>
      </c>
      <c r="D2" s="23" t="s">
        <v>78</v>
      </c>
      <c r="E2" s="23" t="s">
        <v>79</v>
      </c>
      <c r="F2" s="23" t="s">
        <v>107</v>
      </c>
      <c r="G2" s="23" t="s">
        <v>108</v>
      </c>
      <c r="H2" s="33" t="s">
        <v>109</v>
      </c>
      <c r="I2"/>
      <c r="J2" s="56" t="s">
        <v>5</v>
      </c>
      <c r="K2" s="24">
        <v>23900</v>
      </c>
      <c r="L2" s="24">
        <v>8000</v>
      </c>
      <c r="M2" s="57">
        <v>0.3347</v>
      </c>
      <c r="N2"/>
      <c r="O2"/>
      <c r="Q2" s="23"/>
    </row>
    <row r="3" spans="1:17" x14ac:dyDescent="0.25">
      <c r="A3" s="32" t="s">
        <v>111</v>
      </c>
      <c r="B3" s="24">
        <v>6000</v>
      </c>
      <c r="C3" s="24">
        <v>4000</v>
      </c>
      <c r="D3" s="24">
        <v>1800</v>
      </c>
      <c r="E3" s="24">
        <v>1800</v>
      </c>
      <c r="F3" s="24">
        <v>1300</v>
      </c>
      <c r="G3" s="23">
        <v>500</v>
      </c>
      <c r="H3" s="33">
        <v>500</v>
      </c>
      <c r="I3"/>
      <c r="J3" s="56" t="s">
        <v>14</v>
      </c>
      <c r="K3" s="24">
        <v>10500</v>
      </c>
      <c r="L3" s="24">
        <v>5000</v>
      </c>
      <c r="M3" s="57">
        <v>0.47620000000000001</v>
      </c>
      <c r="N3"/>
      <c r="O3"/>
      <c r="Q3" s="23"/>
    </row>
    <row r="4" spans="1:17" x14ac:dyDescent="0.25">
      <c r="A4" s="32" t="s">
        <v>104</v>
      </c>
      <c r="B4" s="25">
        <v>0.251</v>
      </c>
      <c r="C4" s="25">
        <v>0.16739999999999999</v>
      </c>
      <c r="D4" s="25">
        <v>7.5300000000000006E-2</v>
      </c>
      <c r="E4" s="25">
        <v>7.5300000000000006E-2</v>
      </c>
      <c r="F4" s="25">
        <v>5.4399999999999997E-2</v>
      </c>
      <c r="G4" s="25">
        <v>2.0899999999999998E-2</v>
      </c>
      <c r="H4" s="34">
        <v>2.0899999999999998E-2</v>
      </c>
      <c r="J4" s="56" t="s">
        <v>67</v>
      </c>
      <c r="K4" s="24">
        <v>5300</v>
      </c>
      <c r="L4" s="24">
        <v>1000</v>
      </c>
      <c r="M4" s="57">
        <v>0.18870000000000001</v>
      </c>
    </row>
    <row r="5" spans="1:17" x14ac:dyDescent="0.25">
      <c r="A5" s="32" t="s">
        <v>112</v>
      </c>
      <c r="B5" s="7" t="s">
        <v>121</v>
      </c>
      <c r="C5" s="7" t="s">
        <v>121</v>
      </c>
      <c r="D5" s="7" t="s">
        <v>121</v>
      </c>
      <c r="E5" s="7" t="s">
        <v>121</v>
      </c>
      <c r="F5" s="7" t="s">
        <v>121</v>
      </c>
      <c r="G5" s="7" t="s">
        <v>121</v>
      </c>
      <c r="H5" s="35" t="s">
        <v>121</v>
      </c>
      <c r="J5" s="56" t="s">
        <v>66</v>
      </c>
      <c r="K5" s="24">
        <v>1520</v>
      </c>
      <c r="L5" s="23">
        <v>920</v>
      </c>
      <c r="M5" s="57">
        <v>0.60529999999999995</v>
      </c>
    </row>
    <row r="6" spans="1:17" x14ac:dyDescent="0.25">
      <c r="A6" s="36" t="s">
        <v>110</v>
      </c>
      <c r="B6" s="37">
        <v>23900</v>
      </c>
      <c r="C6" s="38"/>
      <c r="D6" s="38"/>
      <c r="E6" s="38"/>
      <c r="F6" s="38"/>
      <c r="G6" s="38"/>
      <c r="H6" s="39"/>
      <c r="J6" s="56" t="s">
        <v>19</v>
      </c>
      <c r="K6" s="24">
        <v>4500</v>
      </c>
      <c r="L6" s="24">
        <v>1600</v>
      </c>
      <c r="M6" s="57">
        <v>0.35560000000000003</v>
      </c>
    </row>
    <row r="7" spans="1:17" x14ac:dyDescent="0.25">
      <c r="J7" s="56" t="s">
        <v>105</v>
      </c>
      <c r="K7" s="24">
        <v>5000</v>
      </c>
      <c r="L7" s="24">
        <v>1500</v>
      </c>
      <c r="M7" s="57">
        <v>0.3</v>
      </c>
    </row>
    <row r="8" spans="1:17" x14ac:dyDescent="0.25">
      <c r="A8" s="40" t="s">
        <v>113</v>
      </c>
      <c r="B8" s="41"/>
      <c r="C8" s="41"/>
      <c r="D8" s="42"/>
      <c r="J8" s="56" t="s">
        <v>68</v>
      </c>
      <c r="K8" s="24">
        <v>3000</v>
      </c>
      <c r="L8" s="24">
        <v>1200</v>
      </c>
      <c r="M8" s="57">
        <v>0.4</v>
      </c>
    </row>
    <row r="9" spans="1:17" ht="15.75" thickBot="1" x14ac:dyDescent="0.3">
      <c r="A9" s="32" t="s">
        <v>30</v>
      </c>
      <c r="B9" s="26" t="s">
        <v>76</v>
      </c>
      <c r="C9" s="26" t="s">
        <v>107</v>
      </c>
      <c r="D9" s="43" t="s">
        <v>114</v>
      </c>
      <c r="E9" s="23"/>
      <c r="F9" s="23"/>
      <c r="G9" s="23"/>
      <c r="H9" s="23"/>
      <c r="J9" s="58" t="s">
        <v>37</v>
      </c>
      <c r="K9" s="59">
        <v>53720</v>
      </c>
      <c r="L9" s="59">
        <v>19220</v>
      </c>
      <c r="M9" s="60">
        <v>0.35780000000000001</v>
      </c>
    </row>
    <row r="10" spans="1:17" x14ac:dyDescent="0.25">
      <c r="A10" s="32" t="s">
        <v>111</v>
      </c>
      <c r="B10" s="27">
        <v>3500</v>
      </c>
      <c r="C10" s="27">
        <v>1500</v>
      </c>
      <c r="D10" s="43">
        <v>500</v>
      </c>
      <c r="E10" s="23"/>
      <c r="F10" s="23"/>
      <c r="G10" s="23"/>
      <c r="H10" s="23"/>
    </row>
    <row r="11" spans="1:17" x14ac:dyDescent="0.25">
      <c r="A11" s="32" t="s">
        <v>104</v>
      </c>
      <c r="B11" s="28">
        <v>0.33329999999999999</v>
      </c>
      <c r="C11" s="28">
        <v>0.1429</v>
      </c>
      <c r="D11" s="44">
        <v>4.7600000000000003E-2</v>
      </c>
      <c r="E11" s="23"/>
      <c r="F11" s="23"/>
      <c r="G11" s="23"/>
      <c r="H11" s="23"/>
    </row>
    <row r="12" spans="1:17" x14ac:dyDescent="0.25">
      <c r="A12" s="32" t="s">
        <v>112</v>
      </c>
      <c r="B12" s="27">
        <v>4500</v>
      </c>
      <c r="C12" s="27">
        <v>3000</v>
      </c>
      <c r="D12" s="45">
        <v>2000</v>
      </c>
      <c r="E12" s="23"/>
      <c r="F12" s="23"/>
      <c r="G12" s="23"/>
      <c r="H12" s="23"/>
    </row>
    <row r="13" spans="1:17" x14ac:dyDescent="0.25">
      <c r="A13" s="36" t="s">
        <v>110</v>
      </c>
      <c r="B13" s="46">
        <v>10500</v>
      </c>
      <c r="C13" s="47"/>
      <c r="D13" s="48"/>
      <c r="E13" s="23"/>
      <c r="F13" s="23"/>
      <c r="G13" s="23"/>
      <c r="H13" s="23"/>
    </row>
    <row r="14" spans="1:17" x14ac:dyDescent="0.25">
      <c r="B14" s="23"/>
      <c r="C14" s="23"/>
    </row>
    <row r="15" spans="1:17" x14ac:dyDescent="0.25">
      <c r="A15" s="40" t="s">
        <v>115</v>
      </c>
      <c r="B15" s="41"/>
      <c r="C15" s="41"/>
      <c r="D15" s="42"/>
    </row>
    <row r="16" spans="1:17" x14ac:dyDescent="0.25">
      <c r="A16" s="32" t="s">
        <v>30</v>
      </c>
      <c r="B16" s="26" t="s">
        <v>107</v>
      </c>
      <c r="C16" s="26" t="s">
        <v>116</v>
      </c>
      <c r="D16" s="43" t="s">
        <v>90</v>
      </c>
    </row>
    <row r="17" spans="1:10" x14ac:dyDescent="0.25">
      <c r="A17" s="32" t="s">
        <v>111</v>
      </c>
      <c r="B17" s="27">
        <v>2800</v>
      </c>
      <c r="C17" s="27">
        <v>1000</v>
      </c>
      <c r="D17" s="43">
        <v>500</v>
      </c>
    </row>
    <row r="18" spans="1:10" x14ac:dyDescent="0.25">
      <c r="A18" s="32" t="s">
        <v>104</v>
      </c>
      <c r="B18" s="28">
        <v>0.52829999999999999</v>
      </c>
      <c r="C18" s="28">
        <v>0.18870000000000001</v>
      </c>
      <c r="D18" s="44">
        <v>9.4299999999999995E-2</v>
      </c>
    </row>
    <row r="19" spans="1:10" x14ac:dyDescent="0.25">
      <c r="A19" s="32" t="s">
        <v>112</v>
      </c>
      <c r="B19" s="27">
        <v>2800</v>
      </c>
      <c r="C19" s="27">
        <v>1000</v>
      </c>
      <c r="D19" s="43">
        <v>500</v>
      </c>
    </row>
    <row r="20" spans="1:10" x14ac:dyDescent="0.25">
      <c r="A20" s="36" t="s">
        <v>110</v>
      </c>
      <c r="B20" s="46">
        <v>5300</v>
      </c>
      <c r="C20" s="47"/>
      <c r="D20" s="39"/>
    </row>
    <row r="21" spans="1:10" x14ac:dyDescent="0.25">
      <c r="B21" s="24"/>
      <c r="C21" s="25"/>
    </row>
    <row r="22" spans="1:10" x14ac:dyDescent="0.25">
      <c r="A22" s="40" t="s">
        <v>117</v>
      </c>
      <c r="B22" s="31"/>
      <c r="C22" s="26"/>
      <c r="D22" s="26"/>
      <c r="E22" s="26"/>
      <c r="F22" s="26"/>
      <c r="G22" s="26"/>
      <c r="H22" s="26"/>
      <c r="I22" s="18"/>
      <c r="J22" s="18"/>
    </row>
    <row r="23" spans="1:10" x14ac:dyDescent="0.25">
      <c r="A23" s="32" t="s">
        <v>30</v>
      </c>
      <c r="B23" s="43" t="s">
        <v>76</v>
      </c>
      <c r="C23" s="26"/>
      <c r="D23" s="26"/>
      <c r="E23" s="21"/>
      <c r="F23" s="18"/>
      <c r="G23" s="18"/>
      <c r="H23" s="18"/>
      <c r="I23" s="18"/>
      <c r="J23" s="18"/>
    </row>
    <row r="24" spans="1:10" x14ac:dyDescent="0.25">
      <c r="A24" s="32" t="s">
        <v>111</v>
      </c>
      <c r="B24" s="43">
        <v>600</v>
      </c>
      <c r="C24" s="26"/>
      <c r="D24" s="27"/>
      <c r="E24" s="18"/>
      <c r="F24" s="18"/>
      <c r="G24" s="18"/>
      <c r="H24" s="18"/>
      <c r="I24" s="18"/>
      <c r="J24" s="18"/>
    </row>
    <row r="25" spans="1:10" x14ac:dyDescent="0.25">
      <c r="A25" s="32" t="s">
        <v>104</v>
      </c>
      <c r="B25" s="44">
        <v>0.3947</v>
      </c>
      <c r="C25" s="26"/>
      <c r="D25" s="27"/>
      <c r="E25" s="18"/>
      <c r="F25" s="19"/>
      <c r="G25" s="20"/>
      <c r="H25" s="22"/>
      <c r="I25" s="20"/>
      <c r="J25" s="19"/>
    </row>
    <row r="26" spans="1:10" x14ac:dyDescent="0.25">
      <c r="A26" s="32" t="s">
        <v>112</v>
      </c>
      <c r="B26" s="45">
        <v>3450</v>
      </c>
      <c r="C26" s="26"/>
      <c r="D26" s="27"/>
      <c r="E26" s="18"/>
      <c r="F26" s="19"/>
      <c r="G26" s="18"/>
      <c r="H26" s="22"/>
      <c r="I26" s="18"/>
      <c r="J26" s="18"/>
    </row>
    <row r="27" spans="1:10" x14ac:dyDescent="0.25">
      <c r="A27" s="36" t="s">
        <v>110</v>
      </c>
      <c r="B27" s="49">
        <v>1520</v>
      </c>
      <c r="C27" s="26"/>
      <c r="D27" s="27"/>
      <c r="E27" s="26"/>
      <c r="F27" s="27"/>
      <c r="G27" s="26"/>
      <c r="H27" s="27"/>
      <c r="I27" s="18"/>
      <c r="J27" s="18"/>
    </row>
    <row r="28" spans="1:10" x14ac:dyDescent="0.25">
      <c r="B28" s="23"/>
      <c r="C28" s="23"/>
    </row>
    <row r="29" spans="1:10" x14ac:dyDescent="0.25">
      <c r="A29" s="40" t="s">
        <v>118</v>
      </c>
      <c r="B29" s="41"/>
      <c r="C29" s="50"/>
      <c r="D29" s="51"/>
      <c r="E29" s="26"/>
      <c r="F29" s="26"/>
      <c r="G29" s="26"/>
    </row>
    <row r="30" spans="1:10" x14ac:dyDescent="0.25">
      <c r="A30" s="32" t="s">
        <v>30</v>
      </c>
      <c r="B30" s="26" t="s">
        <v>92</v>
      </c>
      <c r="C30" s="26" t="s">
        <v>89</v>
      </c>
      <c r="D30" s="43" t="s">
        <v>88</v>
      </c>
      <c r="E30" s="26"/>
      <c r="F30" s="26"/>
      <c r="G30" s="26"/>
    </row>
    <row r="31" spans="1:10" x14ac:dyDescent="0.25">
      <c r="A31" s="32" t="s">
        <v>111</v>
      </c>
      <c r="B31" s="26">
        <v>500</v>
      </c>
      <c r="C31" s="27">
        <v>1200</v>
      </c>
      <c r="D31" s="45">
        <v>1200</v>
      </c>
      <c r="E31" s="26"/>
      <c r="F31" s="28"/>
      <c r="G31" s="27"/>
    </row>
    <row r="32" spans="1:10" x14ac:dyDescent="0.25">
      <c r="A32" s="32" t="s">
        <v>104</v>
      </c>
      <c r="B32" s="28">
        <v>0.1111</v>
      </c>
      <c r="C32" s="28">
        <v>0.26669999999999999</v>
      </c>
      <c r="D32" s="44">
        <v>0.26669999999999999</v>
      </c>
      <c r="E32" s="27"/>
      <c r="F32" s="26"/>
      <c r="G32" s="26"/>
    </row>
    <row r="33" spans="1:11" x14ac:dyDescent="0.25">
      <c r="A33" s="32" t="s">
        <v>112</v>
      </c>
      <c r="B33" s="7" t="s">
        <v>121</v>
      </c>
      <c r="C33" s="7" t="s">
        <v>121</v>
      </c>
      <c r="D33" s="35" t="s">
        <v>121</v>
      </c>
    </row>
    <row r="34" spans="1:11" x14ac:dyDescent="0.25">
      <c r="A34" s="36" t="s">
        <v>110</v>
      </c>
      <c r="B34" s="46">
        <v>4500</v>
      </c>
      <c r="C34" s="38"/>
      <c r="D34" s="52"/>
      <c r="E34" s="18"/>
      <c r="F34" s="18"/>
      <c r="G34" s="18"/>
      <c r="H34" s="18"/>
      <c r="I34" s="18"/>
      <c r="J34" s="18"/>
      <c r="K34" s="18"/>
    </row>
    <row r="35" spans="1:11" x14ac:dyDescent="0.25">
      <c r="D35" s="18"/>
      <c r="E35" s="18"/>
      <c r="F35" s="18"/>
      <c r="G35" s="18"/>
      <c r="H35" s="18"/>
      <c r="I35" s="18"/>
      <c r="J35" s="18"/>
      <c r="K35" s="18"/>
    </row>
    <row r="36" spans="1:11" x14ac:dyDescent="0.25">
      <c r="A36" s="29" t="s">
        <v>119</v>
      </c>
      <c r="B36" s="41"/>
      <c r="C36" s="42"/>
      <c r="G36" s="19"/>
      <c r="H36" s="20"/>
      <c r="I36" s="19"/>
      <c r="J36" s="20"/>
      <c r="K36" s="19"/>
    </row>
    <row r="37" spans="1:11" x14ac:dyDescent="0.25">
      <c r="A37" s="32" t="s">
        <v>30</v>
      </c>
      <c r="B37" s="26" t="s">
        <v>120</v>
      </c>
      <c r="C37" s="43" t="s">
        <v>87</v>
      </c>
      <c r="G37" s="18"/>
      <c r="H37" s="18"/>
      <c r="I37" s="18"/>
      <c r="J37" s="18"/>
      <c r="K37" s="18"/>
    </row>
    <row r="38" spans="1:11" x14ac:dyDescent="0.25">
      <c r="A38" s="32" t="s">
        <v>111</v>
      </c>
      <c r="B38" s="27">
        <v>3200</v>
      </c>
      <c r="C38" s="43">
        <v>300</v>
      </c>
      <c r="G38" s="18"/>
      <c r="H38" s="18"/>
      <c r="I38" s="18"/>
      <c r="J38" s="18"/>
      <c r="K38" s="18"/>
    </row>
    <row r="39" spans="1:11" x14ac:dyDescent="0.25">
      <c r="A39" s="32" t="s">
        <v>104</v>
      </c>
      <c r="B39" s="28">
        <v>0.64</v>
      </c>
      <c r="C39" s="44">
        <v>0.06</v>
      </c>
    </row>
    <row r="40" spans="1:11" x14ac:dyDescent="0.25">
      <c r="A40" s="32" t="s">
        <v>112</v>
      </c>
      <c r="B40" s="27">
        <v>3200</v>
      </c>
      <c r="C40" s="43">
        <v>800</v>
      </c>
    </row>
    <row r="41" spans="1:11" x14ac:dyDescent="0.25">
      <c r="A41" s="36" t="s">
        <v>110</v>
      </c>
      <c r="B41" s="46">
        <v>5000</v>
      </c>
      <c r="C41" s="39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Propostas Mensal 2026</vt:lpstr>
      <vt:lpstr>Motivos de Perda 2026</vt:lpstr>
      <vt:lpstr>Projeção Real 2026</vt:lpstr>
      <vt:lpstr>Levantamento de Mercado 2026</vt:lpstr>
      <vt:lpstr>Posicionamento Comercial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 - Marketing</dc:creator>
  <cp:lastModifiedBy>Alessandro - Marketing</cp:lastModifiedBy>
  <dcterms:created xsi:type="dcterms:W3CDTF">2026-08-17T12:29:53Z</dcterms:created>
  <dcterms:modified xsi:type="dcterms:W3CDTF">2026-08-17T18:57:30Z</dcterms:modified>
</cp:coreProperties>
</file>